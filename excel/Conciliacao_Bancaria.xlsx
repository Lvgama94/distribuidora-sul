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Projetos\distribuidora-sul\excel\"/>
    </mc:Choice>
  </mc:AlternateContent>
  <xr:revisionPtr revIDLastSave="0" documentId="13_ncr:1_{B2314DE1-45CB-4660-97AC-5A38D942792B}" xr6:coauthVersionLast="47" xr6:coauthVersionMax="47" xr10:uidLastSave="{00000000-0000-0000-0000-000000000000}"/>
  <bookViews>
    <workbookView xWindow="-120" yWindow="-120" windowWidth="29040" windowHeight="15720" xr2:uid="{5597FF19-D92A-4892-88DF-8569D8F945F6}"/>
  </bookViews>
  <sheets>
    <sheet name="Leia-me" sheetId="1" r:id="rId1"/>
    <sheet name="Configuração" sheetId="2" r:id="rId2"/>
    <sheet name="Resumo" sheetId="3" r:id="rId3"/>
    <sheet name="Conciliação" sheetId="4" r:id="rId4"/>
  </sheets>
  <definedNames>
    <definedName name="ArquivoExtrato">Configuração!$C$5</definedName>
    <definedName name="DadosExternos_1" localSheetId="3" hidden="1">Conciliação!$A$1:$K$1602</definedName>
    <definedName name="DataFim">Configuração!$C$7</definedName>
    <definedName name="DataInicio">Configuração!$C$6</definedName>
    <definedName name="PastaDados">Configuração!$C$4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7" i="2" l="1"/>
  <c r="C6" i="2"/>
  <c r="C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5091E3-EAD5-462B-9B96-5B3745369C03}" keepAlive="1" name="Conexão" type="5" refreshedVersion="8" saveData="1">
    <dbPr connection="Provider=Microsoft.Mashup.OleDb.1;Data Source=$Workbook$;Location=&quot;Conciliação&quot;;Extended Properties=&quot;&quot;" command="SELECT * FROM [Conciliação]"/>
  </connection>
</connections>
</file>

<file path=xl/sharedStrings.xml><?xml version="1.0" encoding="utf-8"?>
<sst xmlns="http://schemas.openxmlformats.org/spreadsheetml/2006/main" count="8102" uniqueCount="2125">
  <si>
    <t>Conciliação bancária</t>
  </si>
  <si>
    <t>Distribuidora Sul Ltda. · projeto de portfólio de Lucas Gama (dados fictícios)</t>
  </si>
  <si>
    <t>O problema</t>
  </si>
  <si>
    <t>Todo fechamento o financeiro compara o extrato do banco com os títulos baixados no sistema (contas a receber e a pagar). Em dezembro/2025 são cerca de 1.600 lançamentos.</t>
  </si>
  <si>
    <t>Feito à mão, linha a linha, leva horas e deixa passar tarifas não lançadas, pagamentos que compensaram no mês seguinte e clientes que pagaram juros.</t>
  </si>
  <si>
    <t>A solução</t>
  </si>
  <si>
    <t>Power Query lê o extrato (CSV do banco) e os títulos do sistema e casa os dois em duas passadas: primeiro pelo documento (título ou número do pagamento), depois o que sobrou por data e valor (PIX sem identificação).</t>
  </si>
  <si>
    <t>O que não casa vira pendência: Só no extrato (ex.: tarifas para lançar), Só no sistema (ex.: pagamento que só compensou em janeiro) e Valor divergente (ex.: cliente pagou juros).</t>
  </si>
  <si>
    <t>Como usar</t>
  </si>
  <si>
    <t>1. Na aba Configuração, informe o arquivo do extrato e o período.</t>
  </si>
  <si>
    <t>2. Clique em Dados &gt; Atualizar Tudo. A aba Resumo mostra quanto conciliou e as pendências para investigar; a aba Conciliação tem o detalhe linha a linha.</t>
  </si>
  <si>
    <t>Antes: uma tarde de conferência por mês. Depois: um clique, e só as pendências para olhar.</t>
  </si>
  <si>
    <t>Configuração</t>
  </si>
  <si>
    <t>Pasta de dados</t>
  </si>
  <si>
    <t>Arquivo do extrato</t>
  </si>
  <si>
    <t>extrato_bancario_2025_12.csv</t>
  </si>
  <si>
    <t>Início do período</t>
  </si>
  <si>
    <t>Fim do período</t>
  </si>
  <si>
    <t>A pasta de dados é a pasta data do repositório. O extrato fica em data\bruto\financeiro e os títulos em data\tratado.</t>
  </si>
  <si>
    <t>Status</t>
  </si>
  <si>
    <t>Regra</t>
  </si>
  <si>
    <t>Data no Extrato</t>
  </si>
  <si>
    <t>Data no Sistema</t>
  </si>
  <si>
    <t>Documento</t>
  </si>
  <si>
    <t>Histórico</t>
  </si>
  <si>
    <t>Descrição</t>
  </si>
  <si>
    <t>Valor no Extrato</t>
  </si>
  <si>
    <t>Valor no Sistema</t>
  </si>
  <si>
    <t>Diferença</t>
  </si>
  <si>
    <t>Lançamentos</t>
  </si>
  <si>
    <t>Valor divergente</t>
  </si>
  <si>
    <t>1-110517/1</t>
  </si>
  <si>
    <t>LIQUIDACAO DE BOLETO</t>
  </si>
  <si>
    <t>Recebimento do cliente C00030</t>
  </si>
  <si>
    <t>1-110423/1</t>
  </si>
  <si>
    <t>Recebimento do cliente C00317</t>
  </si>
  <si>
    <t>1-111364/1</t>
  </si>
  <si>
    <t>Recebimento do cliente C00260</t>
  </si>
  <si>
    <t>Só no sistema</t>
  </si>
  <si>
    <t>Pendente</t>
  </si>
  <si>
    <t>CP3469</t>
  </si>
  <si>
    <t>Compra de mercadorias - pedido 51755</t>
  </si>
  <si>
    <t>CP3476</t>
  </si>
  <si>
    <t>Compra de mercadorias - pedido 51763</t>
  </si>
  <si>
    <t>CP3483</t>
  </si>
  <si>
    <t>Compra de mercadorias - pedido 51754</t>
  </si>
  <si>
    <t>CP3484</t>
  </si>
  <si>
    <t>Compra de mercadorias - pedido 51770</t>
  </si>
  <si>
    <t>Só no extrato</t>
  </si>
  <si>
    <t>TARIFA PACOTE DE SERVICOS</t>
  </si>
  <si>
    <t>TARIFA TED</t>
  </si>
  <si>
    <t>IOF</t>
  </si>
  <si>
    <t>Conciliado</t>
  </si>
  <si>
    <t>1-110519/1</t>
  </si>
  <si>
    <t>Recebimento do cliente C00055</t>
  </si>
  <si>
    <t>Data e valor</t>
  </si>
  <si>
    <t>1-110985/1</t>
  </si>
  <si>
    <t>PIX RECEBIDO</t>
  </si>
  <si>
    <t>Recebimento do cliente C00265</t>
  </si>
  <si>
    <t>1-110863/1</t>
  </si>
  <si>
    <t>Recebimento do cliente C00042</t>
  </si>
  <si>
    <t>3-104447/1</t>
  </si>
  <si>
    <t>Recebimento do cliente C00334</t>
  </si>
  <si>
    <t>1-110868/1</t>
  </si>
  <si>
    <t>Recebimento do cliente C00310</t>
  </si>
  <si>
    <t>3-104294/1</t>
  </si>
  <si>
    <t>Recebimento do cliente C00003</t>
  </si>
  <si>
    <t>2-106587/1</t>
  </si>
  <si>
    <t>Recebimento do cliente C00205</t>
  </si>
  <si>
    <t>1-110903/1</t>
  </si>
  <si>
    <t>Recebimento do cliente C00085</t>
  </si>
  <si>
    <t>3-104470/1</t>
  </si>
  <si>
    <t>Recebimento do cliente C00165</t>
  </si>
  <si>
    <t>3-104435/1</t>
  </si>
  <si>
    <t>Recebimento do cliente C00052</t>
  </si>
  <si>
    <t>2-106673/1</t>
  </si>
  <si>
    <t>Recebimento do cliente C00358</t>
  </si>
  <si>
    <t>2-106804/1</t>
  </si>
  <si>
    <t>Recebimento do cliente C00011</t>
  </si>
  <si>
    <t>3-104426/1</t>
  </si>
  <si>
    <t>Recebimento do cliente C00187</t>
  </si>
  <si>
    <t>1-110752/1</t>
  </si>
  <si>
    <t>Recebimento do cliente C00027</t>
  </si>
  <si>
    <t>2-106897/1</t>
  </si>
  <si>
    <t>Recebimento do cliente C00225</t>
  </si>
  <si>
    <t>1-110996/1</t>
  </si>
  <si>
    <t>Recebimento do cliente C00092</t>
  </si>
  <si>
    <t>1-110885/1</t>
  </si>
  <si>
    <t>Recebimento do cliente C00223</t>
  </si>
  <si>
    <t>1-110767/1</t>
  </si>
  <si>
    <t>Recebimento do cliente C00251</t>
  </si>
  <si>
    <t>1-110680/1</t>
  </si>
  <si>
    <t>Recebimento do cliente C00036</t>
  </si>
  <si>
    <t>3-104412/1</t>
  </si>
  <si>
    <t>1-110758/1</t>
  </si>
  <si>
    <t>Recebimento do cliente C00119</t>
  </si>
  <si>
    <t>1-110818/1</t>
  </si>
  <si>
    <t>Recebimento do cliente C00145</t>
  </si>
  <si>
    <t>1-110874/1</t>
  </si>
  <si>
    <t>Recebimento do cliente C00009</t>
  </si>
  <si>
    <t>1-110783/1</t>
  </si>
  <si>
    <t>3-104253/1</t>
  </si>
  <si>
    <t>Recebimento do cliente C00404</t>
  </si>
  <si>
    <t>1-110816/1</t>
  </si>
  <si>
    <t>Recebimento do cliente C00124</t>
  </si>
  <si>
    <t>2-106895/1</t>
  </si>
  <si>
    <t>Recebimento do cliente C00189</t>
  </si>
  <si>
    <t>3-104382/1</t>
  </si>
  <si>
    <t>Recebimento do cliente C00351</t>
  </si>
  <si>
    <t>3-104380/1</t>
  </si>
  <si>
    <t>Recebimento do cliente C00333</t>
  </si>
  <si>
    <t>1-110881/1</t>
  </si>
  <si>
    <t>Recebimento do cliente C00141</t>
  </si>
  <si>
    <t>1-110760/1</t>
  </si>
  <si>
    <t>Recebimento do cliente C00158</t>
  </si>
  <si>
    <t>2-106590/1</t>
  </si>
  <si>
    <t>Recebimento do cliente C00250</t>
  </si>
  <si>
    <t>2-106902/1</t>
  </si>
  <si>
    <t>Recebimento do cliente C00348</t>
  </si>
  <si>
    <t>3-104329/1</t>
  </si>
  <si>
    <t>Recebimento do cliente C00174</t>
  </si>
  <si>
    <t>2-106435/1</t>
  </si>
  <si>
    <t>Recebimento do cliente C00393</t>
  </si>
  <si>
    <t>3-104378/1</t>
  </si>
  <si>
    <t>Recebimento do cliente C00284</t>
  </si>
  <si>
    <t>1-110845/1</t>
  </si>
  <si>
    <t>2-106816/1</t>
  </si>
  <si>
    <t>Recebimento do cliente C00394</t>
  </si>
  <si>
    <t>1-110646/1</t>
  </si>
  <si>
    <t>Recebimento do cliente C00390</t>
  </si>
  <si>
    <t>1-110897/1</t>
  </si>
  <si>
    <t>Recebimento do cliente C00420</t>
  </si>
  <si>
    <t>1-110499/1</t>
  </si>
  <si>
    <t>Recebimento do cliente C00220</t>
  </si>
  <si>
    <t>1-110911/1</t>
  </si>
  <si>
    <t>Recebimento do cliente C00263</t>
  </si>
  <si>
    <t>2-106765/1</t>
  </si>
  <si>
    <t>Recebimento do cliente C00406</t>
  </si>
  <si>
    <t>1-110531/1</t>
  </si>
  <si>
    <t>Recebimento do cliente C00386</t>
  </si>
  <si>
    <t>CP3388</t>
  </si>
  <si>
    <t>PAGAMENTO BOLETO</t>
  </si>
  <si>
    <t>Benefícios Administrativo - Matriz Porto Alegre - 12/2025</t>
  </si>
  <si>
    <t>CP3386</t>
  </si>
  <si>
    <t>Benefícios Compras - Matriz Porto Alegre - 12/2025</t>
  </si>
  <si>
    <t>CP3392</t>
  </si>
  <si>
    <t>Benefícios Comercial - Filial Pelotas - 12/2025</t>
  </si>
  <si>
    <t>CP3384</t>
  </si>
  <si>
    <t>Benefícios Financeiro - Matriz Porto Alegre - 12/2025</t>
  </si>
  <si>
    <t>CP3389</t>
  </si>
  <si>
    <t>Benefícios Comercial - Filial Caxias do Sul - 12/2025</t>
  </si>
  <si>
    <t>CP3393</t>
  </si>
  <si>
    <t>Benefícios Logística - Filial Pelotas - 12/2025</t>
  </si>
  <si>
    <t>CP3310</t>
  </si>
  <si>
    <t>Compra de mercadorias - pedido 51688</t>
  </si>
  <si>
    <t>CP3382</t>
  </si>
  <si>
    <t>Benefícios Comercial - Matriz Porto Alegre - 12/2025</t>
  </si>
  <si>
    <t>CP3390</t>
  </si>
  <si>
    <t>Benefícios Logística - Filial Caxias do Sul - 12/2025</t>
  </si>
  <si>
    <t>CP3417</t>
  </si>
  <si>
    <t>Tarifas bancárias e cobrança - 11/2025</t>
  </si>
  <si>
    <t>CP3307</t>
  </si>
  <si>
    <t>Compra de mercadorias - pedido 51678</t>
  </si>
  <si>
    <t>CP3225</t>
  </si>
  <si>
    <t>Compra de mercadorias - pedido 51645</t>
  </si>
  <si>
    <t>CP3332</t>
  </si>
  <si>
    <t>Compra de mercadorias - pedido 51671</t>
  </si>
  <si>
    <t>CP3195</t>
  </si>
  <si>
    <t>Compra de mercadorias - pedido 51623</t>
  </si>
  <si>
    <t>CP3383</t>
  </si>
  <si>
    <t>Benefícios Logística - Matriz Porto Alegre - 12/2025</t>
  </si>
  <si>
    <t>CP3299</t>
  </si>
  <si>
    <t>Compra de mercadorias - pedido 51653</t>
  </si>
  <si>
    <t>CP3306</t>
  </si>
  <si>
    <t>Compra de mercadorias - pedido 51677</t>
  </si>
  <si>
    <t>CP3387</t>
  </si>
  <si>
    <t>Benefícios Tecnologia da Informação - Matriz Porto Alegre - 12/2025</t>
  </si>
  <si>
    <t>CP3385</t>
  </si>
  <si>
    <t>Benefícios Recursos Humanos - Matriz Porto Alegre - 12/2025</t>
  </si>
  <si>
    <t>CP3381</t>
  </si>
  <si>
    <t>Benefícios Diretoria - Matriz Porto Alegre - 12/2025</t>
  </si>
  <si>
    <t>CP3394</t>
  </si>
  <si>
    <t>Benefícios Administrativo - Filial Pelotas - 12/2025</t>
  </si>
  <si>
    <t>1-110791/1</t>
  </si>
  <si>
    <t>Recebimento do cliente C00252</t>
  </si>
  <si>
    <t>1-110906/1</t>
  </si>
  <si>
    <t>Recebimento do cliente C00166</t>
  </si>
  <si>
    <t>3-104391/1</t>
  </si>
  <si>
    <t>Recebimento do cliente C00293</t>
  </si>
  <si>
    <t>1-110995/1</t>
  </si>
  <si>
    <t>Recebimento do cliente C00086</t>
  </si>
  <si>
    <t>1-110999/1</t>
  </si>
  <si>
    <t>Recebimento do cliente C00104</t>
  </si>
  <si>
    <t>3-104480/1</t>
  </si>
  <si>
    <t>Recebimento do cliente C00329</t>
  </si>
  <si>
    <t>2-106900/1</t>
  </si>
  <si>
    <t>Recebimento do cliente C00289</t>
  </si>
  <si>
    <t>3-104421/1</t>
  </si>
  <si>
    <t>Recebimento do cliente C00026</t>
  </si>
  <si>
    <t>2-106901/1</t>
  </si>
  <si>
    <t>Recebimento do cliente C00320</t>
  </si>
  <si>
    <t>1-110757/1</t>
  </si>
  <si>
    <t>Recebimento do cliente C00100</t>
  </si>
  <si>
    <t>1-110986/1</t>
  </si>
  <si>
    <t>Recebimento do cliente C00389</t>
  </si>
  <si>
    <t>2-106759/1</t>
  </si>
  <si>
    <t>Recebimento do cliente C00283</t>
  </si>
  <si>
    <t>3-104416/1</t>
  </si>
  <si>
    <t>Recebimento do cliente C00127</t>
  </si>
  <si>
    <t>1-111011/1</t>
  </si>
  <si>
    <t>2-106896/1</t>
  </si>
  <si>
    <t>Recebimento do cliente C00193</t>
  </si>
  <si>
    <t>1-110931/1</t>
  </si>
  <si>
    <t>Recebimento do cliente C00291</t>
  </si>
  <si>
    <t>2-106801/1</t>
  </si>
  <si>
    <t>CP3391</t>
  </si>
  <si>
    <t>Benefícios Administrativo - Filial Caxias do Sul - 12/2025</t>
  </si>
  <si>
    <t>2-106905/1</t>
  </si>
  <si>
    <t>Recebimento do cliente C00405</t>
  </si>
  <si>
    <t>3-104396/1</t>
  </si>
  <si>
    <t>Recebimento do cliente C00161</t>
  </si>
  <si>
    <t>2-106802/1</t>
  </si>
  <si>
    <t>Recebimento do cliente C00148</t>
  </si>
  <si>
    <t>1-110529/1</t>
  </si>
  <si>
    <t>Recebimento do cliente C00340</t>
  </si>
  <si>
    <t>1-110019/2</t>
  </si>
  <si>
    <t>Recebimento do cliente C00281</t>
  </si>
  <si>
    <t>3-104063/2</t>
  </si>
  <si>
    <t>Recebimento do cliente C00231</t>
  </si>
  <si>
    <t>1-110070/2</t>
  </si>
  <si>
    <t>Recebimento do cliente C00160</t>
  </si>
  <si>
    <t>1-110034/2</t>
  </si>
  <si>
    <t>1-110528/1</t>
  </si>
  <si>
    <t>Recebimento do cliente C00337</t>
  </si>
  <si>
    <t>2-106314/2</t>
  </si>
  <si>
    <t>Recebimento do cliente C00381</t>
  </si>
  <si>
    <t>3-104373/1</t>
  </si>
  <si>
    <t>Recebimento do cliente C00123</t>
  </si>
  <si>
    <t>3-104075/1</t>
  </si>
  <si>
    <t>Recebimento do cliente C00245</t>
  </si>
  <si>
    <t>2-106308/2</t>
  </si>
  <si>
    <t>1-110434/1</t>
  </si>
  <si>
    <t>2-106311/2</t>
  </si>
  <si>
    <t>Recebimento do cliente C00301</t>
  </si>
  <si>
    <t>3-104288/1</t>
  </si>
  <si>
    <t>Recebimento do cliente C00246</t>
  </si>
  <si>
    <t>1-110285/1</t>
  </si>
  <si>
    <t>Recebimento do cliente C00078</t>
  </si>
  <si>
    <t>3-104483/1</t>
  </si>
  <si>
    <t>Recebimento do cliente C00415</t>
  </si>
  <si>
    <t>3-104281/1</t>
  </si>
  <si>
    <t>1-110537/1</t>
  </si>
  <si>
    <t>Recebimento do cliente C00098</t>
  </si>
  <si>
    <t>2-106814/1</t>
  </si>
  <si>
    <t>Recebimento do cliente C00308</t>
  </si>
  <si>
    <t>2-106605/1</t>
  </si>
  <si>
    <t>Recebimento do cliente C00277</t>
  </si>
  <si>
    <t>1-110017/2</t>
  </si>
  <si>
    <t>2-106743/1</t>
  </si>
  <si>
    <t>Recebimento do cliente C00275</t>
  </si>
  <si>
    <t>1-110016/2</t>
  </si>
  <si>
    <t>1-110454/1</t>
  </si>
  <si>
    <t>2-106031/2</t>
  </si>
  <si>
    <t>1-110418/1</t>
  </si>
  <si>
    <t>Recebimento do cliente C00232</t>
  </si>
  <si>
    <t>1-110521/1</t>
  </si>
  <si>
    <t>Recebimento do cliente C00162</t>
  </si>
  <si>
    <t>2-106601/1</t>
  </si>
  <si>
    <t>Recebimento do cliente C00058</t>
  </si>
  <si>
    <t>1-109797/2</t>
  </si>
  <si>
    <t>Recebimento do cliente C00154</t>
  </si>
  <si>
    <t>2-106593/1</t>
  </si>
  <si>
    <t>1-110552/1</t>
  </si>
  <si>
    <t>Recebimento do cliente C00378</t>
  </si>
  <si>
    <t>1-110775/1</t>
  </si>
  <si>
    <t>Recebimento do cliente C00366</t>
  </si>
  <si>
    <t>2-106528/1</t>
  </si>
  <si>
    <t>Recebimento do cliente C00038</t>
  </si>
  <si>
    <t>1-110567/1</t>
  </si>
  <si>
    <t>Recebimento do cliente C00230</t>
  </si>
  <si>
    <t>1-109999/2</t>
  </si>
  <si>
    <t>Recebimento do cliente C00093</t>
  </si>
  <si>
    <t>1-110525/1</t>
  </si>
  <si>
    <t>3-104054/2</t>
  </si>
  <si>
    <t>1-110378/1</t>
  </si>
  <si>
    <t>1-110013/2</t>
  </si>
  <si>
    <t>1-110565/1</t>
  </si>
  <si>
    <t>3-104269/1</t>
  </si>
  <si>
    <t>1-110015/2</t>
  </si>
  <si>
    <t>1-110123/1</t>
  </si>
  <si>
    <t>1-110562/1</t>
  </si>
  <si>
    <t>Recebimento do cliente C00091</t>
  </si>
  <si>
    <t>1-110882/1</t>
  </si>
  <si>
    <t>Recebimento do cliente C00155</t>
  </si>
  <si>
    <t>2-106704/1</t>
  </si>
  <si>
    <t>Recebimento do cliente C00073</t>
  </si>
  <si>
    <t>1-110657/1</t>
  </si>
  <si>
    <t>Recebimento do cliente C00043</t>
  </si>
  <si>
    <t>2-106893/1</t>
  </si>
  <si>
    <t>Recebimento do cliente C00079</t>
  </si>
  <si>
    <t>2-106357/1</t>
  </si>
  <si>
    <t>Recebimento do cliente C00005</t>
  </si>
  <si>
    <t>1-110509/1</t>
  </si>
  <si>
    <t>Recebimento do cliente C00029</t>
  </si>
  <si>
    <t>2-106903/1</t>
  </si>
  <si>
    <t>Recebimento do cliente C00377</t>
  </si>
  <si>
    <t>2-106600/1</t>
  </si>
  <si>
    <t>Recebimento do cliente C00046</t>
  </si>
  <si>
    <t>1-110575/1</t>
  </si>
  <si>
    <t>Recebimento do cliente C00402</t>
  </si>
  <si>
    <t>2-106597/1</t>
  </si>
  <si>
    <t>2-106482/1</t>
  </si>
  <si>
    <t>Recebimento do cliente C00276</t>
  </si>
  <si>
    <t>3-104309/1</t>
  </si>
  <si>
    <t>Recebimento do cliente C00354</t>
  </si>
  <si>
    <t>1-110541/1</t>
  </si>
  <si>
    <t>Recebimento do cliente C00167</t>
  </si>
  <si>
    <t>1-110593/1</t>
  </si>
  <si>
    <t>2-106753/1</t>
  </si>
  <si>
    <t>Recebimento do cliente C00152</t>
  </si>
  <si>
    <t>1-110901/1</t>
  </si>
  <si>
    <t>Recebimento do cliente C00051</t>
  </si>
  <si>
    <t>CP3316</t>
  </si>
  <si>
    <t>Compra de mercadorias - pedido 51684</t>
  </si>
  <si>
    <t>CP3346</t>
  </si>
  <si>
    <t>Compra de mercadorias - pedido 51704</t>
  </si>
  <si>
    <t>CP3315</t>
  </si>
  <si>
    <t>Compra de mercadorias - pedido 51691</t>
  </si>
  <si>
    <t>2-106845/1</t>
  </si>
  <si>
    <t>3-104437/1</t>
  </si>
  <si>
    <t>Recebimento do cliente C00206</t>
  </si>
  <si>
    <t>CP3344</t>
  </si>
  <si>
    <t>Compra de mercadorias - pedido 51706</t>
  </si>
  <si>
    <t>2-106909/1</t>
  </si>
  <si>
    <t>Recebimento do cliente C00114</t>
  </si>
  <si>
    <t>2-106925/1</t>
  </si>
  <si>
    <t>Recebimento do cliente C00419</t>
  </si>
  <si>
    <t>2-106839/1</t>
  </si>
  <si>
    <t>3-104393/1</t>
  </si>
  <si>
    <t>Recebimento do cliente C00370</t>
  </si>
  <si>
    <t>1-111016/1</t>
  </si>
  <si>
    <t>Recebimento do cliente C00034</t>
  </si>
  <si>
    <t>1-111044/1</t>
  </si>
  <si>
    <t>Recebimento do cliente C00372</t>
  </si>
  <si>
    <t>CP3241</t>
  </si>
  <si>
    <t>Compra de mercadorias - pedido 51647</t>
  </si>
  <si>
    <t>1-110800/1</t>
  </si>
  <si>
    <t>Recebimento do cliente C00371</t>
  </si>
  <si>
    <t>3-104429/1</t>
  </si>
  <si>
    <t>Recebimento do cliente C00313</t>
  </si>
  <si>
    <t>CP3243</t>
  </si>
  <si>
    <t>Compra de mercadorias - pedido 51644</t>
  </si>
  <si>
    <t>3-104490/1</t>
  </si>
  <si>
    <t>Recebimento do cliente C00328</t>
  </si>
  <si>
    <t>2-106842/1</t>
  </si>
  <si>
    <t>Recebimento do cliente C00120</t>
  </si>
  <si>
    <t>CP3318</t>
  </si>
  <si>
    <t>Compra de mercadorias - pedido 51664</t>
  </si>
  <si>
    <t>2-106799/1</t>
  </si>
  <si>
    <t>Recebimento do cliente C00412</t>
  </si>
  <si>
    <t>1-110536/1</t>
  </si>
  <si>
    <t>2-106702/1</t>
  </si>
  <si>
    <t>Recebimento do cliente C00414</t>
  </si>
  <si>
    <t>3-104485/1</t>
  </si>
  <si>
    <t>Recebimento do cliente C00050</t>
  </si>
  <si>
    <t>1-110546/1</t>
  </si>
  <si>
    <t>2-106752/1</t>
  </si>
  <si>
    <t>Recebimento do cliente C00071</t>
  </si>
  <si>
    <t>2-106616/1</t>
  </si>
  <si>
    <t>1-110534/1</t>
  </si>
  <si>
    <t>3-104487/1</t>
  </si>
  <si>
    <t>2-106628/1</t>
  </si>
  <si>
    <t>3-104298/1</t>
  </si>
  <si>
    <t>Recebimento do cliente C00282</t>
  </si>
  <si>
    <t>1-110950/1</t>
  </si>
  <si>
    <t>Recebimento do cliente C00197</t>
  </si>
  <si>
    <t>2-106847/1</t>
  </si>
  <si>
    <t>Recebimento do cliente C00221</t>
  </si>
  <si>
    <t>1-111045/1</t>
  </si>
  <si>
    <t>Recebimento do cliente C00379</t>
  </si>
  <si>
    <t>2-106571/1</t>
  </si>
  <si>
    <t>1-110804/1</t>
  </si>
  <si>
    <t>Recebimento do cliente C00408</t>
  </si>
  <si>
    <t>1-110941/1</t>
  </si>
  <si>
    <t>1-110729/1</t>
  </si>
  <si>
    <t>2-106918/1</t>
  </si>
  <si>
    <t>Recebimento do cliente C00319</t>
  </si>
  <si>
    <t>3-104390/1</t>
  </si>
  <si>
    <t>Recebimento do cliente C00264</t>
  </si>
  <si>
    <t>1-110825/1</t>
  </si>
  <si>
    <t>2-106638/1</t>
  </si>
  <si>
    <t>Recebimento do cliente C00383</t>
  </si>
  <si>
    <t>2-106921/1</t>
  </si>
  <si>
    <t>Recebimento do cliente C00384</t>
  </si>
  <si>
    <t>1-109984/2</t>
  </si>
  <si>
    <t>1-110908/1</t>
  </si>
  <si>
    <t>Recebimento do cliente C00219</t>
  </si>
  <si>
    <t>2-106259/2</t>
  </si>
  <si>
    <t>Recebimento do cliente C00130</t>
  </si>
  <si>
    <t>2-106908/1</t>
  </si>
  <si>
    <t>Recebimento do cliente C00060</t>
  </si>
  <si>
    <t>1-110742/1</t>
  </si>
  <si>
    <t>Recebimento do cliente C00239</t>
  </si>
  <si>
    <t>2-106316/2</t>
  </si>
  <si>
    <t>3-104068/2</t>
  </si>
  <si>
    <t>1-110105/2</t>
  </si>
  <si>
    <t>1-110053/2</t>
  </si>
  <si>
    <t>3-104075/2</t>
  </si>
  <si>
    <t>2-106324/2</t>
  </si>
  <si>
    <t>1-110617/1</t>
  </si>
  <si>
    <t>1-111070/1</t>
  </si>
  <si>
    <t>Recebimento do cliente C00326</t>
  </si>
  <si>
    <t>2-106862/1</t>
  </si>
  <si>
    <t>Recebimento do cliente C00244</t>
  </si>
  <si>
    <t>2-106320/2</t>
  </si>
  <si>
    <t>3-104460/1</t>
  </si>
  <si>
    <t>Recebimento do cliente C00303</t>
  </si>
  <si>
    <t>3-104310/1</t>
  </si>
  <si>
    <t>2-106868/1</t>
  </si>
  <si>
    <t>1-111051/1</t>
  </si>
  <si>
    <t>Recebimento do cliente C00064</t>
  </si>
  <si>
    <t>1-110843/1</t>
  </si>
  <si>
    <t>Recebimento do cliente C00106</t>
  </si>
  <si>
    <t>1-111062/1</t>
  </si>
  <si>
    <t>Recebimento do cliente C00142</t>
  </si>
  <si>
    <t>3-104400/1</t>
  </si>
  <si>
    <t>2-106930/1</t>
  </si>
  <si>
    <t>3-104279/1</t>
  </si>
  <si>
    <t>Recebimento do cliente C00363</t>
  </si>
  <si>
    <t>1-110090/2</t>
  </si>
  <si>
    <t>2-106536/1</t>
  </si>
  <si>
    <t>1-110746/1</t>
  </si>
  <si>
    <t>Recebimento do cliente C00316</t>
  </si>
  <si>
    <t>1-110808/1</t>
  </si>
  <si>
    <t>Recebimento do cliente C00012</t>
  </si>
  <si>
    <t>1-110095/2</t>
  </si>
  <si>
    <t>1-110926/1</t>
  </si>
  <si>
    <t>2-106772/1</t>
  </si>
  <si>
    <t>Recebimento do cliente C00111</t>
  </si>
  <si>
    <t>1-111049/1</t>
  </si>
  <si>
    <t>1-110564/1</t>
  </si>
  <si>
    <t>3-104322/1</t>
  </si>
  <si>
    <t>Recebimento do cliente C00216</t>
  </si>
  <si>
    <t>2-106642/1</t>
  </si>
  <si>
    <t>Recebimento do cliente C00172</t>
  </si>
  <si>
    <t>1-110577/1</t>
  </si>
  <si>
    <t>1-110590/1</t>
  </si>
  <si>
    <t>2-106613/1</t>
  </si>
  <si>
    <t>Recebimento do cliente C00176</t>
  </si>
  <si>
    <t>3-104301/1</t>
  </si>
  <si>
    <t>Recebimento do cliente C00006</t>
  </si>
  <si>
    <t>2-106851/1</t>
  </si>
  <si>
    <t>Recebimento do cliente C00288</t>
  </si>
  <si>
    <t>1-111067/1</t>
  </si>
  <si>
    <t>CP3320</t>
  </si>
  <si>
    <t>Compra de mercadorias - pedido 51655</t>
  </si>
  <si>
    <t>2-106625/1</t>
  </si>
  <si>
    <t>2-106652/1</t>
  </si>
  <si>
    <t>Recebimento do cliente C00373</t>
  </si>
  <si>
    <t>2-106882/1</t>
  </si>
  <si>
    <t>1-110556/1</t>
  </si>
  <si>
    <t>CP3321</t>
  </si>
  <si>
    <t>Compra de mercadorias - pedido 51682</t>
  </si>
  <si>
    <t>1-110125/2</t>
  </si>
  <si>
    <t>Recebimento do cliente C00336</t>
  </si>
  <si>
    <t>2-106072/2</t>
  </si>
  <si>
    <t>1-110588/1</t>
  </si>
  <si>
    <t>2-106938/1</t>
  </si>
  <si>
    <t>3-104312/1</t>
  </si>
  <si>
    <t>Recebimento do cliente C00096</t>
  </si>
  <si>
    <t>2-106627/1</t>
  </si>
  <si>
    <t>2-106636/1</t>
  </si>
  <si>
    <t>1-110607/1</t>
  </si>
  <si>
    <t>2-106644/1</t>
  </si>
  <si>
    <t>Recebimento do cliente C00180</t>
  </si>
  <si>
    <t>3-104414/1</t>
  </si>
  <si>
    <t>1-110578/1</t>
  </si>
  <si>
    <t>2-106785/1</t>
  </si>
  <si>
    <t>3-104455/1</t>
  </si>
  <si>
    <t>Recebimento do cliente C00062</t>
  </si>
  <si>
    <t>1-111080/1</t>
  </si>
  <si>
    <t>Recebimento do cliente C00025</t>
  </si>
  <si>
    <t>3-104353/1</t>
  </si>
  <si>
    <t>Recebimento do cliente C00037</t>
  </si>
  <si>
    <t>1-111090/1</t>
  </si>
  <si>
    <t>Recebimento do cliente C00181</t>
  </si>
  <si>
    <t>2-106649/1</t>
  </si>
  <si>
    <t>1-110958/1</t>
  </si>
  <si>
    <t>Recebimento do cliente C00132</t>
  </si>
  <si>
    <t>1-110947/1</t>
  </si>
  <si>
    <t>1-110643/1</t>
  </si>
  <si>
    <t>Recebimento do cliente C00344</t>
  </si>
  <si>
    <t>2-106952/1</t>
  </si>
  <si>
    <t>1-110727/1</t>
  </si>
  <si>
    <t>Recebimento do cliente C00360</t>
  </si>
  <si>
    <t>1-111087/1</t>
  </si>
  <si>
    <t>Recebimento do cliente C00128</t>
  </si>
  <si>
    <t>3-104456/1</t>
  </si>
  <si>
    <t>Recebimento do cliente C00066</t>
  </si>
  <si>
    <t>2-106946/1</t>
  </si>
  <si>
    <t>2-106707/1</t>
  </si>
  <si>
    <t>Recebimento do cliente C00209</t>
  </si>
  <si>
    <t>1-110526/1</t>
  </si>
  <si>
    <t>3-104402/1</t>
  </si>
  <si>
    <t>1-111084/1</t>
  </si>
  <si>
    <t>1-111091/1</t>
  </si>
  <si>
    <t>Recebimento do cliente C00192</t>
  </si>
  <si>
    <t>1-110571/1</t>
  </si>
  <si>
    <t>2-106944/1</t>
  </si>
  <si>
    <t>Recebimento do cliente C00175</t>
  </si>
  <si>
    <t>1-110620/1</t>
  </si>
  <si>
    <t>1-110976/1</t>
  </si>
  <si>
    <t>1-111102/1</t>
  </si>
  <si>
    <t>2-106635/1</t>
  </si>
  <si>
    <t>Recebimento do cliente C00296</t>
  </si>
  <si>
    <t>2-106559/1</t>
  </si>
  <si>
    <t>Recebimento do cliente C00248</t>
  </si>
  <si>
    <t>1-111095/1</t>
  </si>
  <si>
    <t>Recebimento do cliente C00236</t>
  </si>
  <si>
    <t>1-111103/1</t>
  </si>
  <si>
    <t>Recebimento do cliente C00380</t>
  </si>
  <si>
    <t>1-110120/2</t>
  </si>
  <si>
    <t>1-109768/2</t>
  </si>
  <si>
    <t>CP3329</t>
  </si>
  <si>
    <t>Compra de mercadorias - pedido 51693</t>
  </si>
  <si>
    <t>CP3250</t>
  </si>
  <si>
    <t>Compra de mercadorias - pedido 51665</t>
  </si>
  <si>
    <t>CP3251</t>
  </si>
  <si>
    <t>Compra de mercadorias - pedido 51660</t>
  </si>
  <si>
    <t>3-104501/1</t>
  </si>
  <si>
    <t>3-104519/1</t>
  </si>
  <si>
    <t>Recebimento do cliente C00249</t>
  </si>
  <si>
    <t>1-110853/1</t>
  </si>
  <si>
    <t>1-110127/2</t>
  </si>
  <si>
    <t>2-106963/1</t>
  </si>
  <si>
    <t>Recebimento do cliente C00353</t>
  </si>
  <si>
    <t>CP3350</t>
  </si>
  <si>
    <t>Compra de mercadorias - pedido 51710</t>
  </si>
  <si>
    <t>3-104356/1</t>
  </si>
  <si>
    <t>1-110873/1</t>
  </si>
  <si>
    <t>Recebimento do cliente C00004</t>
  </si>
  <si>
    <t>CP3446</t>
  </si>
  <si>
    <t>Salários Logística - Filial Pelotas - 11/2025</t>
  </si>
  <si>
    <t>3-104521/1</t>
  </si>
  <si>
    <t>3-104515/1</t>
  </si>
  <si>
    <t>1-110855/1</t>
  </si>
  <si>
    <t>Recebimento do cliente C00256</t>
  </si>
  <si>
    <t>1-110961/1</t>
  </si>
  <si>
    <t>CP3440</t>
  </si>
  <si>
    <t>Salários Tecnologia da Informação - Matriz Porto Alegre - 11/2025</t>
  </si>
  <si>
    <t>1-110615/1</t>
  </si>
  <si>
    <t>2-106812/1</t>
  </si>
  <si>
    <t>Recebimento do cliente C00258</t>
  </si>
  <si>
    <t>CP3445</t>
  </si>
  <si>
    <t>Salários Comercial - Filial Pelotas - 11/2025</t>
  </si>
  <si>
    <t>CP3441</t>
  </si>
  <si>
    <t>Salários Administrativo - Matriz Porto Alegre - 11/2025</t>
  </si>
  <si>
    <t>2-106791/1</t>
  </si>
  <si>
    <t>Recebimento do cliente C00196</t>
  </si>
  <si>
    <t>CP3447</t>
  </si>
  <si>
    <t>Salários Administrativo - Filial Pelotas - 11/2025</t>
  </si>
  <si>
    <t>CP3456</t>
  </si>
  <si>
    <t>Aluguel - Filial Pelotas - 12/2025</t>
  </si>
  <si>
    <t>CP3444</t>
  </si>
  <si>
    <t>Salários Administrativo - Filial Caxias do Sul - 11/2025</t>
  </si>
  <si>
    <t>1-110123/2</t>
  </si>
  <si>
    <t>2-106877/1</t>
  </si>
  <si>
    <t>Recebimento do cliente C00343</t>
  </si>
  <si>
    <t>CP3438</t>
  </si>
  <si>
    <t>Salários Recursos Humanos - Matriz Porto Alegre - 11/2025</t>
  </si>
  <si>
    <t>3-104464/1</t>
  </si>
  <si>
    <t>Recebimento do cliente C00117</t>
  </si>
  <si>
    <t>2-106647/1</t>
  </si>
  <si>
    <t>3-104524/1</t>
  </si>
  <si>
    <t>Recebimento do cliente C00396</t>
  </si>
  <si>
    <t>1-110606/1</t>
  </si>
  <si>
    <t>1-110857/1</t>
  </si>
  <si>
    <t>Recebimento do cliente C00314</t>
  </si>
  <si>
    <t>CP3455</t>
  </si>
  <si>
    <t>Aluguel - Filial Caxias do Sul - 12/2025</t>
  </si>
  <si>
    <t>1-111112/1</t>
  </si>
  <si>
    <t>2-106964/1</t>
  </si>
  <si>
    <t>Recebimento do cliente C00361</t>
  </si>
  <si>
    <t>CP3442</t>
  </si>
  <si>
    <t>Salários Comercial - Filial Caxias do Sul - 11/2025</t>
  </si>
  <si>
    <t>2-106741/1</t>
  </si>
  <si>
    <t>Recebimento do cliente C00237</t>
  </si>
  <si>
    <t>1-110969/1</t>
  </si>
  <si>
    <t>1-110852/1</t>
  </si>
  <si>
    <t>CP3324</t>
  </si>
  <si>
    <t>Compra de mercadorias - pedido 51685</t>
  </si>
  <si>
    <t>CP3454</t>
  </si>
  <si>
    <t>Aluguel - Matriz Porto Alegre - 12/2025</t>
  </si>
  <si>
    <t>2-106966/1</t>
  </si>
  <si>
    <t>3-104365/1</t>
  </si>
  <si>
    <t>Recebimento do cliente C00183</t>
  </si>
  <si>
    <t>CP3434</t>
  </si>
  <si>
    <t>Salários Diretoria - Matriz Porto Alegre - 11/2025</t>
  </si>
  <si>
    <t>2-106653/1</t>
  </si>
  <si>
    <t>1-110848/1</t>
  </si>
  <si>
    <t>Recebimento do cliente C00178</t>
  </si>
  <si>
    <t>CP3436</t>
  </si>
  <si>
    <t>Salários Logística - Matriz Porto Alegre - 11/2025</t>
  </si>
  <si>
    <t>CP3443</t>
  </si>
  <si>
    <t>Salários Logística - Filial Caxias do Sul - 11/2025</t>
  </si>
  <si>
    <t>CP3435</t>
  </si>
  <si>
    <t>Salários Comercial - Matriz Porto Alegre - 11/2025</t>
  </si>
  <si>
    <t>CP3437</t>
  </si>
  <si>
    <t>Salários Financeiro - Matriz Porto Alegre - 11/2025</t>
  </si>
  <si>
    <t>1-110623/1</t>
  </si>
  <si>
    <t>1-110858/1</t>
  </si>
  <si>
    <t>1-111125/1</t>
  </si>
  <si>
    <t>1-110616/1</t>
  </si>
  <si>
    <t>1-110749/1</t>
  </si>
  <si>
    <t>Recebimento do cliente C00392</t>
  </si>
  <si>
    <t>CP3439</t>
  </si>
  <si>
    <t>Salários Compras - Matriz Porto Alegre - 11/2025</t>
  </si>
  <si>
    <t>3-104461/1</t>
  </si>
  <si>
    <t>1-110635/1</t>
  </si>
  <si>
    <t>1-111136/1</t>
  </si>
  <si>
    <t>2-106972/1</t>
  </si>
  <si>
    <t>1-110992/1</t>
  </si>
  <si>
    <t>3-104331/1</t>
  </si>
  <si>
    <t>1-110702/1</t>
  </si>
  <si>
    <t>3-104417/1</t>
  </si>
  <si>
    <t>2-106994/1</t>
  </si>
  <si>
    <t>3-104397/1</t>
  </si>
  <si>
    <t>3-104536/1</t>
  </si>
  <si>
    <t>Recebimento do cliente C00302</t>
  </si>
  <si>
    <t>2-106818/1</t>
  </si>
  <si>
    <t>Recebimento do cliente C00019</t>
  </si>
  <si>
    <t>1-110793/1</t>
  </si>
  <si>
    <t>Recebimento do cliente C00274</t>
  </si>
  <si>
    <t>1-110754/1</t>
  </si>
  <si>
    <t>Recebimento do cliente C00057</t>
  </si>
  <si>
    <t>2-106694/1</t>
  </si>
  <si>
    <t>3-104474/1</t>
  </si>
  <si>
    <t>Recebimento do cliente C00099</t>
  </si>
  <si>
    <t>1-111006/1</t>
  </si>
  <si>
    <t>Recebimento do cliente C00253</t>
  </si>
  <si>
    <t>2-106843/1</t>
  </si>
  <si>
    <t>Recebimento do cliente C00140</t>
  </si>
  <si>
    <t>1-110875/1</t>
  </si>
  <si>
    <t>2-106898/1</t>
  </si>
  <si>
    <t>Recebimento do cliente C00261</t>
  </si>
  <si>
    <t>1-110638/1</t>
  </si>
  <si>
    <t>1-110987/1</t>
  </si>
  <si>
    <t>1-110993/1</t>
  </si>
  <si>
    <t>Recebimento do cliente C00047</t>
  </si>
  <si>
    <t>1-110774/1</t>
  </si>
  <si>
    <t>1-110700/1</t>
  </si>
  <si>
    <t>Recebimento do cliente C00306</t>
  </si>
  <si>
    <t>1-111013/1</t>
  </si>
  <si>
    <t>2-106660/1</t>
  </si>
  <si>
    <t>1-111142/1</t>
  </si>
  <si>
    <t>Recebimento do cliente C00083</t>
  </si>
  <si>
    <t>2-106669/1</t>
  </si>
  <si>
    <t>1-111014/1</t>
  </si>
  <si>
    <t>Recebimento do cliente C00017</t>
  </si>
  <si>
    <t>1-110981/1</t>
  </si>
  <si>
    <t>1-110664/1</t>
  </si>
  <si>
    <t>3-104540/1</t>
  </si>
  <si>
    <t>1-110654/1</t>
  </si>
  <si>
    <t>3-104529/1</t>
  </si>
  <si>
    <t>2-106980/1</t>
  </si>
  <si>
    <t>1-110652/1</t>
  </si>
  <si>
    <t>Recebimento do cliente C00022</t>
  </si>
  <si>
    <t>1-110770/1</t>
  </si>
  <si>
    <t>3-104338/1</t>
  </si>
  <si>
    <t>2-106770/1</t>
  </si>
  <si>
    <t>Recebimento do cliente C00082</t>
  </si>
  <si>
    <t>1-111151/1</t>
  </si>
  <si>
    <t>1-110627/1</t>
  </si>
  <si>
    <t>1-110649/1</t>
  </si>
  <si>
    <t>Recebimento do cliente C00007</t>
  </si>
  <si>
    <t>3-104324/1</t>
  </si>
  <si>
    <t>1-110988/1</t>
  </si>
  <si>
    <t>2-106808/1</t>
  </si>
  <si>
    <t>1-110998/1</t>
  </si>
  <si>
    <t>Recebimento do cliente C00095</t>
  </si>
  <si>
    <t>1-110678/1</t>
  </si>
  <si>
    <t>1-110768/1</t>
  </si>
  <si>
    <t>2-106675/1</t>
  </si>
  <si>
    <t>2-106820/1</t>
  </si>
  <si>
    <t>Recebimento do cliente C00049</t>
  </si>
  <si>
    <t>3-104472/1</t>
  </si>
  <si>
    <t>1-110613/1</t>
  </si>
  <si>
    <t>1-110887/1</t>
  </si>
  <si>
    <t>3-104481/1</t>
  </si>
  <si>
    <t>1-110753/1</t>
  </si>
  <si>
    <t>3-104454/1</t>
  </si>
  <si>
    <t>1-111163/1</t>
  </si>
  <si>
    <t>2-106643/1</t>
  </si>
  <si>
    <t>1-110982/1</t>
  </si>
  <si>
    <t>Recebimento do cliente C00170</t>
  </si>
  <si>
    <t>1-110776/1</t>
  </si>
  <si>
    <t>1-110671/1</t>
  </si>
  <si>
    <t>CP3308</t>
  </si>
  <si>
    <t>Compra de mercadorias - pedido 51666</t>
  </si>
  <si>
    <t>2-106828/1</t>
  </si>
  <si>
    <t>Recebimento do cliente C00157</t>
  </si>
  <si>
    <t>2-106887/1</t>
  </si>
  <si>
    <t>2-106798/1</t>
  </si>
  <si>
    <t>Recebimento do cliente C00387</t>
  </si>
  <si>
    <t>1-111022/1</t>
  </si>
  <si>
    <t>Recebimento do cliente C00103</t>
  </si>
  <si>
    <t>1-111140/1</t>
  </si>
  <si>
    <t>Recebimento do cliente C00045</t>
  </si>
  <si>
    <t>1-111056/1</t>
  </si>
  <si>
    <t>Recebimento do cliente C00097</t>
  </si>
  <si>
    <t>2-106976/1</t>
  </si>
  <si>
    <t>CP3341</t>
  </si>
  <si>
    <t>Compra de mercadorias - pedido 51703</t>
  </si>
  <si>
    <t>2-106832/1</t>
  </si>
  <si>
    <t>CP3335</t>
  </si>
  <si>
    <t>Compra de mercadorias - pedido 51696</t>
  </si>
  <si>
    <t>CP3361</t>
  </si>
  <si>
    <t>Compra de mercadorias - pedido 51714</t>
  </si>
  <si>
    <t>CP3333</t>
  </si>
  <si>
    <t>Compra de mercadorias - pedido 51694</t>
  </si>
  <si>
    <t>CP3339</t>
  </si>
  <si>
    <t>Compra de mercadorias - pedido 51670</t>
  </si>
  <si>
    <t>1-110511/1</t>
  </si>
  <si>
    <t>CP3309</t>
  </si>
  <si>
    <t>Compra de mercadorias - pedido 51679</t>
  </si>
  <si>
    <t>CP3300</t>
  </si>
  <si>
    <t>Compra de mercadorias - pedido 51667</t>
  </si>
  <si>
    <t>CP3336</t>
  </si>
  <si>
    <t>Compra de mercadorias - pedido 51680</t>
  </si>
  <si>
    <t>CP3334</t>
  </si>
  <si>
    <t>Compra de mercadorias - pedido 51701</t>
  </si>
  <si>
    <t>3-104109/2</t>
  </si>
  <si>
    <t>3-104120/2</t>
  </si>
  <si>
    <t>2-106367/2</t>
  </si>
  <si>
    <t>1-110148/2</t>
  </si>
  <si>
    <t>2-106371/1</t>
  </si>
  <si>
    <t>Recebimento do cliente C00398</t>
  </si>
  <si>
    <t>1-110163/2</t>
  </si>
  <si>
    <t>3-104130/2</t>
  </si>
  <si>
    <t>1-110259/1</t>
  </si>
  <si>
    <t>1-111015/1</t>
  </si>
  <si>
    <t>Recebimento do cliente C00032</t>
  </si>
  <si>
    <t>CP3340</t>
  </si>
  <si>
    <t>Compra de mercadorias - pedido 51700</t>
  </si>
  <si>
    <t>1-110515/1</t>
  </si>
  <si>
    <t>Recebimento do cliente C00299</t>
  </si>
  <si>
    <t>CP3331</t>
  </si>
  <si>
    <t>Compra de mercadorias - pedido 51695</t>
  </si>
  <si>
    <t>1-111138/1</t>
  </si>
  <si>
    <t>1-110829/1</t>
  </si>
  <si>
    <t>1-110924/1</t>
  </si>
  <si>
    <t>2-106623/1</t>
  </si>
  <si>
    <t>2-106870/1</t>
  </si>
  <si>
    <t>Recebimento do cliente C00137</t>
  </si>
  <si>
    <t>2-106977/1</t>
  </si>
  <si>
    <t>3-104473/1</t>
  </si>
  <si>
    <t>Recebimento do cliente C00074</t>
  </si>
  <si>
    <t>3-104308/1</t>
  </si>
  <si>
    <t>2-106984/1</t>
  </si>
  <si>
    <t>3-104431/1</t>
  </si>
  <si>
    <t>3-104032/2</t>
  </si>
  <si>
    <t>1-110795/1</t>
  </si>
  <si>
    <t>2-106991/1</t>
  </si>
  <si>
    <t>1-110544/1</t>
  </si>
  <si>
    <t>Recebimento do cliente C00195</t>
  </si>
  <si>
    <t>1-110794/1</t>
  </si>
  <si>
    <t>1-111026/1</t>
  </si>
  <si>
    <t>3-104528/1</t>
  </si>
  <si>
    <t>Recebimento do cliente C00016</t>
  </si>
  <si>
    <t>1-110886/1</t>
  </si>
  <si>
    <t>Recebimento do cliente C00229</t>
  </si>
  <si>
    <t>1-110944/1</t>
  </si>
  <si>
    <t>1-111158/1</t>
  </si>
  <si>
    <t>1-111008/1</t>
  </si>
  <si>
    <t>Recebimento do cliente C00287</t>
  </si>
  <si>
    <t>3-104103/2</t>
  </si>
  <si>
    <t>2-106970/1</t>
  </si>
  <si>
    <t>3-104403/1</t>
  </si>
  <si>
    <t>1-111132/1</t>
  </si>
  <si>
    <t>Recebimento do cliente C00278</t>
  </si>
  <si>
    <t>1-111144/1</t>
  </si>
  <si>
    <t>1-110193/2</t>
  </si>
  <si>
    <t>2-106687/1</t>
  </si>
  <si>
    <t>2-106922/1</t>
  </si>
  <si>
    <t>Recebimento do cliente C00397</t>
  </si>
  <si>
    <t>CP3345</t>
  </si>
  <si>
    <t>Compra de mercadorias - pedido 51702</t>
  </si>
  <si>
    <t>2-106941/1</t>
  </si>
  <si>
    <t>Recebimento do cliente C00149</t>
  </si>
  <si>
    <t>CP3312</t>
  </si>
  <si>
    <t>Compra de mercadorias - pedido 51673</t>
  </si>
  <si>
    <t>CP3314</t>
  </si>
  <si>
    <t>Compra de mercadorias - pedido 51690</t>
  </si>
  <si>
    <t>1-111173/1</t>
  </si>
  <si>
    <t>CP3317</t>
  </si>
  <si>
    <t>Compra de mercadorias - pedido 51669</t>
  </si>
  <si>
    <t>1-110687/1</t>
  </si>
  <si>
    <t>1-110691/1</t>
  </si>
  <si>
    <t>2-106699/1</t>
  </si>
  <si>
    <t>1-110204/2</t>
  </si>
  <si>
    <t>2-106417/2</t>
  </si>
  <si>
    <t>3-104157/2</t>
  </si>
  <si>
    <t>3-104152/2</t>
  </si>
  <si>
    <t>2-106402/2</t>
  </si>
  <si>
    <t>2-106382/2</t>
  </si>
  <si>
    <t>3-104357/1</t>
  </si>
  <si>
    <t>1-110721/1</t>
  </si>
  <si>
    <t>1-111193/1</t>
  </si>
  <si>
    <t>2-106345/2</t>
  </si>
  <si>
    <t>3-104092/2</t>
  </si>
  <si>
    <t>2-106730/1</t>
  </si>
  <si>
    <t>Recebimento do cliente C00341</t>
  </si>
  <si>
    <t>2-106422/2</t>
  </si>
  <si>
    <t>2-106867/1</t>
  </si>
  <si>
    <t>Recebimento do cliente C00417</t>
  </si>
  <si>
    <t>1-111181/1</t>
  </si>
  <si>
    <t>2-107019/1</t>
  </si>
  <si>
    <t>1-111182/1</t>
  </si>
  <si>
    <t>3-104546/1</t>
  </si>
  <si>
    <t>1-111167/1</t>
  </si>
  <si>
    <t>Recebimento do cliente C00018</t>
  </si>
  <si>
    <t>2-106830/1</t>
  </si>
  <si>
    <t>2-106822/1</t>
  </si>
  <si>
    <t>Recebimento do cliente C00061</t>
  </si>
  <si>
    <t>3-104542/1</t>
  </si>
  <si>
    <t>Recebimento do cliente C00014</t>
  </si>
  <si>
    <t>3-104445/1</t>
  </si>
  <si>
    <t>1-111040/1</t>
  </si>
  <si>
    <t>Recebimento do cliente C00359</t>
  </si>
  <si>
    <t>2-107013/1</t>
  </si>
  <si>
    <t>1-110977/1</t>
  </si>
  <si>
    <t>Recebimento do cliente C00021</t>
  </si>
  <si>
    <t>2-107016/1</t>
  </si>
  <si>
    <t>2-106950/1</t>
  </si>
  <si>
    <t>Recebimento do cliente C00290</t>
  </si>
  <si>
    <t>2-106916/1</t>
  </si>
  <si>
    <t>1-110784/1</t>
  </si>
  <si>
    <t>Recebimento do cliente C00087</t>
  </si>
  <si>
    <t>1-110834/1</t>
  </si>
  <si>
    <t>2-106650/1</t>
  </si>
  <si>
    <t>1-110802/1</t>
  </si>
  <si>
    <t>1-110798/1</t>
  </si>
  <si>
    <t>2-106607/1</t>
  </si>
  <si>
    <t>1-110655/1</t>
  </si>
  <si>
    <t>2-106912/1</t>
  </si>
  <si>
    <t>3-104543/1</t>
  </si>
  <si>
    <t>3-104544/1</t>
  </si>
  <si>
    <t>Recebimento do cliente C00067</t>
  </si>
  <si>
    <t>1-111176/1</t>
  </si>
  <si>
    <t>2-107012/1</t>
  </si>
  <si>
    <t>Recebimento do cliente C00305</t>
  </si>
  <si>
    <t>1-110668/1</t>
  </si>
  <si>
    <t>3-104550/1</t>
  </si>
  <si>
    <t>1-111089/1</t>
  </si>
  <si>
    <t>2-106913/1</t>
  </si>
  <si>
    <t>2-107008/1</t>
  </si>
  <si>
    <t>1-111174/1</t>
  </si>
  <si>
    <t>Recebimento do cliente C00084</t>
  </si>
  <si>
    <t>2-106683/1</t>
  </si>
  <si>
    <t>1-110899/1</t>
  </si>
  <si>
    <t>CP3325</t>
  </si>
  <si>
    <t>Compra de mercadorias - pedido 51686</t>
  </si>
  <si>
    <t>CP3409</t>
  </si>
  <si>
    <t>Limpeza e vigilância - Filial Pelotas - 11/2025</t>
  </si>
  <si>
    <t>2-106858/1</t>
  </si>
  <si>
    <t>1-111097/1</t>
  </si>
  <si>
    <t>1-111053/1</t>
  </si>
  <si>
    <t>2-107034/1</t>
  </si>
  <si>
    <t>CP3413</t>
  </si>
  <si>
    <t>Combustível frota - Matriz Porto Alegre - 2ª quinzena 11/2025</t>
  </si>
  <si>
    <t>CP3405</t>
  </si>
  <si>
    <t>Honorários contábeis - 11/2025</t>
  </si>
  <si>
    <t>CP3408</t>
  </si>
  <si>
    <t>Limpeza e vigilância - Filial Caxias do Sul - 11/2025</t>
  </si>
  <si>
    <t>CP3347</t>
  </si>
  <si>
    <t>Compra de mercadorias - pedido 51705</t>
  </si>
  <si>
    <t>CP3322</t>
  </si>
  <si>
    <t>Compra de mercadorias - pedido 51674</t>
  </si>
  <si>
    <t>CP3407</t>
  </si>
  <si>
    <t>Limpeza e vigilância - Matriz Porto Alegre - 11/2025</t>
  </si>
  <si>
    <t>CP3414</t>
  </si>
  <si>
    <t>Combustível frota - Filial Caxias do Sul - 2ª quinzena 11/2025</t>
  </si>
  <si>
    <t>CP3406</t>
  </si>
  <si>
    <t>Assessoria jurídica - 11/2025</t>
  </si>
  <si>
    <t>3-104556/1</t>
  </si>
  <si>
    <t>3-104498/1</t>
  </si>
  <si>
    <t>3-104513/1</t>
  </si>
  <si>
    <t>2-106841/1</t>
  </si>
  <si>
    <t>1-111215/1</t>
  </si>
  <si>
    <t>Recebimento do cliente C00292</t>
  </si>
  <si>
    <t>1-111207/1</t>
  </si>
  <si>
    <t>2-107032/1</t>
  </si>
  <si>
    <t>3-104448/1</t>
  </si>
  <si>
    <t>1-111120/1</t>
  </si>
  <si>
    <t>1-111057/1</t>
  </si>
  <si>
    <t>Recebimento do cliente C00105</t>
  </si>
  <si>
    <t>3-104505/1</t>
  </si>
  <si>
    <t>1-111221/1</t>
  </si>
  <si>
    <t>Recebimento do cliente C00399</t>
  </si>
  <si>
    <t>3-104504/1</t>
  </si>
  <si>
    <t>3-104553/1</t>
  </si>
  <si>
    <t>3-104468/1</t>
  </si>
  <si>
    <t>2-107026/1</t>
  </si>
  <si>
    <t>1-110951/1</t>
  </si>
  <si>
    <t>Recebimento do cliente C00254</t>
  </si>
  <si>
    <t>2-106800/1</t>
  </si>
  <si>
    <t>1-111061/1</t>
  </si>
  <si>
    <t>1-110975/1</t>
  </si>
  <si>
    <t>1-111079/1</t>
  </si>
  <si>
    <t>2-106850/1</t>
  </si>
  <si>
    <t>3-104493/1</t>
  </si>
  <si>
    <t>2-106935/1</t>
  </si>
  <si>
    <t>2-107035/1</t>
  </si>
  <si>
    <t>1-111219/1</t>
  </si>
  <si>
    <t>2-106728/1</t>
  </si>
  <si>
    <t>1-111046/1</t>
  </si>
  <si>
    <t>1-110688/1</t>
  </si>
  <si>
    <t>3-104224/1</t>
  </si>
  <si>
    <t>1-110683/1</t>
  </si>
  <si>
    <t>2-106352/2</t>
  </si>
  <si>
    <t>Recebimento do cliente C00413</t>
  </si>
  <si>
    <t>3-104335/1</t>
  </si>
  <si>
    <t>2-106690/1</t>
  </si>
  <si>
    <t>1-110631/1</t>
  </si>
  <si>
    <t>2-106695/1</t>
  </si>
  <si>
    <t>2-106696/1</t>
  </si>
  <si>
    <t>1-110118/2</t>
  </si>
  <si>
    <t>1-110625/1</t>
  </si>
  <si>
    <t>1-110704/1</t>
  </si>
  <si>
    <t>2-106701/1</t>
  </si>
  <si>
    <t>1-110236/2</t>
  </si>
  <si>
    <t>2-106713/1</t>
  </si>
  <si>
    <t>1-110724/1</t>
  </si>
  <si>
    <t>3-104367/1</t>
  </si>
  <si>
    <t>1-110741/1</t>
  </si>
  <si>
    <t>2-106721/1</t>
  </si>
  <si>
    <t>2-106464/1</t>
  </si>
  <si>
    <t>1-110938/1</t>
  </si>
  <si>
    <t>3-104559/1</t>
  </si>
  <si>
    <t>2-107046/1</t>
  </si>
  <si>
    <t>2-106611/1</t>
  </si>
  <si>
    <t>1-111039/1</t>
  </si>
  <si>
    <t>Recebimento do cliente C00355</t>
  </si>
  <si>
    <t>1-111236/1</t>
  </si>
  <si>
    <t>1-111111/1</t>
  </si>
  <si>
    <t>Recebimento do cliente C00069</t>
  </si>
  <si>
    <t>1-111251/1</t>
  </si>
  <si>
    <t>1-111227/1</t>
  </si>
  <si>
    <t>2-106863/1</t>
  </si>
  <si>
    <t>CP3326</t>
  </si>
  <si>
    <t>Compra de mercadorias - pedido 51681</t>
  </si>
  <si>
    <t>3-104507/1</t>
  </si>
  <si>
    <t>Recebimento do cliente C00147</t>
  </si>
  <si>
    <t>1-111124/1</t>
  </si>
  <si>
    <t>1-111249/1</t>
  </si>
  <si>
    <t>1-110953/1</t>
  </si>
  <si>
    <t>Recebimento do cliente C00357</t>
  </si>
  <si>
    <t>2-106940/1</t>
  </si>
  <si>
    <t>2-107054/1</t>
  </si>
  <si>
    <t>1-111088/1</t>
  </si>
  <si>
    <t>3-104506/1</t>
  </si>
  <si>
    <t>3-104560/1</t>
  </si>
  <si>
    <t>2-106859/1</t>
  </si>
  <si>
    <t>3-104503/1</t>
  </si>
  <si>
    <t>1-111250/1</t>
  </si>
  <si>
    <t>CP3367</t>
  </si>
  <si>
    <t>Compra de mercadorias - pedido 51722</t>
  </si>
  <si>
    <t>2-107041/1</t>
  </si>
  <si>
    <t>3-104565/1</t>
  </si>
  <si>
    <t>1-111126/1</t>
  </si>
  <si>
    <t>Recebimento do cliente C00407</t>
  </si>
  <si>
    <t>1-110946/1</t>
  </si>
  <si>
    <t>Recebimento do cliente C00090</t>
  </si>
  <si>
    <t>2-107043/1</t>
  </si>
  <si>
    <t>1-111081/1</t>
  </si>
  <si>
    <t>CP3337</t>
  </si>
  <si>
    <t>Compra de mercadorias - pedido 51675</t>
  </si>
  <si>
    <t>1-111248/1</t>
  </si>
  <si>
    <t>2-106415/2</t>
  </si>
  <si>
    <t>2-106427/2</t>
  </si>
  <si>
    <t>3-104469/1</t>
  </si>
  <si>
    <t>1-110747/1</t>
  </si>
  <si>
    <t>1-110733/1</t>
  </si>
  <si>
    <t>3-104164/2</t>
  </si>
  <si>
    <t>2-106715/1</t>
  </si>
  <si>
    <t>2-106703/1</t>
  </si>
  <si>
    <t>1-110734/1</t>
  </si>
  <si>
    <t>Recebimento do cliente C00116</t>
  </si>
  <si>
    <t>1-110716/1</t>
  </si>
  <si>
    <t>1-110738/1</t>
  </si>
  <si>
    <t>2-106709/1</t>
  </si>
  <si>
    <t>1-110970/1</t>
  </si>
  <si>
    <t>1-111284/1</t>
  </si>
  <si>
    <t>3-104572/1</t>
  </si>
  <si>
    <t>1-111272/1</t>
  </si>
  <si>
    <t>Recebimento do cliente C00243</t>
  </si>
  <si>
    <t>1-110838/1</t>
  </si>
  <si>
    <t>1-111254/1</t>
  </si>
  <si>
    <t>2-106924/1</t>
  </si>
  <si>
    <t>1-111106/1</t>
  </si>
  <si>
    <t>1-111259/1</t>
  </si>
  <si>
    <t>Recebimento do cliente C00053</t>
  </si>
  <si>
    <t>3-104514/1</t>
  </si>
  <si>
    <t>3-104568/1</t>
  </si>
  <si>
    <t>Recebimento do cliente C00102</t>
  </si>
  <si>
    <t>1-111280/1</t>
  </si>
  <si>
    <t>Recebimento do cliente C00327</t>
  </si>
  <si>
    <t>1-111121/1</t>
  </si>
  <si>
    <t>3-104573/1</t>
  </si>
  <si>
    <t>3-104575/1</t>
  </si>
  <si>
    <t>1-111274/1</t>
  </si>
  <si>
    <t>CP3404</t>
  </si>
  <si>
    <t>Energia elétrica e água - Filial Pelotas - 11/2025</t>
  </si>
  <si>
    <t>CP3403</t>
  </si>
  <si>
    <t>Energia elétrica e água - Filial Caxias do Sul - 11/2025</t>
  </si>
  <si>
    <t>CP3402</t>
  </si>
  <si>
    <t>Energia elétrica e água - Matriz Porto Alegre - 11/2025</t>
  </si>
  <si>
    <t>1-111263/1</t>
  </si>
  <si>
    <t>1-111000/1</t>
  </si>
  <si>
    <t>Recebimento do cliente C00184</t>
  </si>
  <si>
    <t>3-104570/1</t>
  </si>
  <si>
    <t>1-110973/1</t>
  </si>
  <si>
    <t>3-104566/1</t>
  </si>
  <si>
    <t>3-104523/1</t>
  </si>
  <si>
    <t>2-106923/1</t>
  </si>
  <si>
    <t>1-111115/1</t>
  </si>
  <si>
    <t>Recebimento do cliente C00151</t>
  </si>
  <si>
    <t>1-111262/1</t>
  </si>
  <si>
    <t>3-104362/1</t>
  </si>
  <si>
    <t>3-104232/1</t>
  </si>
  <si>
    <t>2-107073/1</t>
  </si>
  <si>
    <t>3-104366/1</t>
  </si>
  <si>
    <t>1-110639/1</t>
  </si>
  <si>
    <t>2-106722/1</t>
  </si>
  <si>
    <t>2-106435/2</t>
  </si>
  <si>
    <t>3-104392/1</t>
  </si>
  <si>
    <t>1-110180/1</t>
  </si>
  <si>
    <t>1-110696/1</t>
  </si>
  <si>
    <t>2-106718/1</t>
  </si>
  <si>
    <t>2-106697/1</t>
  </si>
  <si>
    <t>1-110224/2</t>
  </si>
  <si>
    <t>1-110226/2</t>
  </si>
  <si>
    <t>1-109975/2</t>
  </si>
  <si>
    <t>2-106451/2</t>
  </si>
  <si>
    <t>2-106457/2</t>
  </si>
  <si>
    <t>1-110276/2</t>
  </si>
  <si>
    <t>1-110293/2</t>
  </si>
  <si>
    <t>1-110893/1</t>
  </si>
  <si>
    <t>Recebimento do cliente C00331</t>
  </si>
  <si>
    <t>1-110890/1</t>
  </si>
  <si>
    <t>2-106442/2</t>
  </si>
  <si>
    <t>1-110927/1</t>
  </si>
  <si>
    <t>2-106431/2</t>
  </si>
  <si>
    <t>2-106824/1</t>
  </si>
  <si>
    <t>1-110250/2</t>
  </si>
  <si>
    <t>2-106429/2</t>
  </si>
  <si>
    <t>2-106831/1</t>
  </si>
  <si>
    <t>Recebimento do cliente C00267</t>
  </si>
  <si>
    <t>2-106834/1</t>
  </si>
  <si>
    <t>1-110913/1</t>
  </si>
  <si>
    <t>1-110915/1</t>
  </si>
  <si>
    <t>1-110134/1</t>
  </si>
  <si>
    <t>1-110919/1</t>
  </si>
  <si>
    <t>1-110920/1</t>
  </si>
  <si>
    <t>Recebimento do cliente C00403</t>
  </si>
  <si>
    <t>1-110253/2</t>
  </si>
  <si>
    <t>1-110088/2</t>
  </si>
  <si>
    <t>1-111108/1</t>
  </si>
  <si>
    <t>1-110983/1</t>
  </si>
  <si>
    <t>Recebimento do cliente C00198</t>
  </si>
  <si>
    <t>1-111060/1</t>
  </si>
  <si>
    <t>1-111133/1</t>
  </si>
  <si>
    <t>Recebimento do cliente C00318</t>
  </si>
  <si>
    <t>3-104530/1</t>
  </si>
  <si>
    <t>1-111291/1</t>
  </si>
  <si>
    <t>Recebimento do cliente C00208</t>
  </si>
  <si>
    <t>1-111127/1</t>
  </si>
  <si>
    <t>1-111047/1</t>
  </si>
  <si>
    <t>2-106969/1</t>
  </si>
  <si>
    <t>3-104585/1</t>
  </si>
  <si>
    <t>3-104548/1</t>
  </si>
  <si>
    <t>1-111043/1</t>
  </si>
  <si>
    <t>Recebimento do cliente C00368</t>
  </si>
  <si>
    <t>1-111033/1</t>
  </si>
  <si>
    <t>3-104555/1</t>
  </si>
  <si>
    <t>1-111145/1</t>
  </si>
  <si>
    <t>2-106978/1</t>
  </si>
  <si>
    <t>3-104537/1</t>
  </si>
  <si>
    <t>2-106999/1</t>
  </si>
  <si>
    <t>1-111200/1</t>
  </si>
  <si>
    <t>2-106932/1</t>
  </si>
  <si>
    <t>Recebimento do cliente C00352</t>
  </si>
  <si>
    <t>CP3412</t>
  </si>
  <si>
    <t>Internet e telefonia - Filial Pelotas - 11/2025</t>
  </si>
  <si>
    <t>CP3355</t>
  </si>
  <si>
    <t>Compra de mercadorias - pedido 51708</t>
  </si>
  <si>
    <t>CP3360</t>
  </si>
  <si>
    <t>Compra de mercadorias - pedido 51718</t>
  </si>
  <si>
    <t>CP3338</t>
  </si>
  <si>
    <t>Compra de mercadorias - pedido 51697</t>
  </si>
  <si>
    <t>CP3416</t>
  </si>
  <si>
    <t>Campanhas e material de trade - 11/2025</t>
  </si>
  <si>
    <t>CP3369</t>
  </si>
  <si>
    <t>Compra de mercadorias - pedido 51726</t>
  </si>
  <si>
    <t>CP3363</t>
  </si>
  <si>
    <t>Compra de mercadorias - pedido 51717</t>
  </si>
  <si>
    <t>CP3362</t>
  </si>
  <si>
    <t>Compra de mercadorias - pedido 51716</t>
  </si>
  <si>
    <t>CP3373</t>
  </si>
  <si>
    <t>Compra de mercadorias - pedido 51729</t>
  </si>
  <si>
    <t>CP3342</t>
  </si>
  <si>
    <t>Compra de mercadorias - pedido 51687</t>
  </si>
  <si>
    <t>CP3375</t>
  </si>
  <si>
    <t>Compra de mercadorias - pedido 51731</t>
  </si>
  <si>
    <t>CP3359</t>
  </si>
  <si>
    <t>Compra de mercadorias - pedido 51713</t>
  </si>
  <si>
    <t>CP3319</t>
  </si>
  <si>
    <t>Material de escritório - Matriz Porto Alegre</t>
  </si>
  <si>
    <t>CP3410</t>
  </si>
  <si>
    <t>Internet e telefonia - Matriz Porto Alegre - 11/2025</t>
  </si>
  <si>
    <t>CP3349</t>
  </si>
  <si>
    <t>Material de escritório - Filial Pelotas</t>
  </si>
  <si>
    <t>CP3352</t>
  </si>
  <si>
    <t>Material de escritório - Filial Caxias do Sul</t>
  </si>
  <si>
    <t>2-107095/1</t>
  </si>
  <si>
    <t>2-107036/1</t>
  </si>
  <si>
    <t>1-111201/1</t>
  </si>
  <si>
    <t>1-111134/1</t>
  </si>
  <si>
    <t>1-111032/1</t>
  </si>
  <si>
    <t>3-104475/1</t>
  </si>
  <si>
    <t>3-104539/1</t>
  </si>
  <si>
    <t>2-107087/1</t>
  </si>
  <si>
    <t>Recebimento do cliente C00146</t>
  </si>
  <si>
    <t>1-111306/1</t>
  </si>
  <si>
    <t>1-111313/1</t>
  </si>
  <si>
    <t>1-110991/1</t>
  </si>
  <si>
    <t>1-111078/1</t>
  </si>
  <si>
    <t>Recebimento do cliente C00416</t>
  </si>
  <si>
    <t>2-106889/1</t>
  </si>
  <si>
    <t>1-111064/1</t>
  </si>
  <si>
    <t>Recebimento do cliente C00173</t>
  </si>
  <si>
    <t>3-104428/1</t>
  </si>
  <si>
    <t>2-106888/1</t>
  </si>
  <si>
    <t>3-104471/1</t>
  </si>
  <si>
    <t>2-106886/1</t>
  </si>
  <si>
    <t>Recebimento do cliente C00202</t>
  </si>
  <si>
    <t>1-111171/1</t>
  </si>
  <si>
    <t>Recebimento do cliente C00044</t>
  </si>
  <si>
    <t>3-104476/1</t>
  </si>
  <si>
    <t>2-106975/1</t>
  </si>
  <si>
    <t>1-111002/1</t>
  </si>
  <si>
    <t>2-107092/1</t>
  </si>
  <si>
    <t>1-111143/1</t>
  </si>
  <si>
    <t>1-111175/1</t>
  </si>
  <si>
    <t>1-111160/1</t>
  </si>
  <si>
    <t>3-104486/1</t>
  </si>
  <si>
    <t>2-107018/1</t>
  </si>
  <si>
    <t>1-111034/1</t>
  </si>
  <si>
    <t>Recebimento do cliente C00266</t>
  </si>
  <si>
    <t>1-111157/1</t>
  </si>
  <si>
    <t>1-110980/1</t>
  </si>
  <si>
    <t>3-104532/1</t>
  </si>
  <si>
    <t>2-106910/1</t>
  </si>
  <si>
    <t>1-111302/1</t>
  </si>
  <si>
    <t>2-106928/1</t>
  </si>
  <si>
    <t>2-106899/1</t>
  </si>
  <si>
    <t>1-111023/1</t>
  </si>
  <si>
    <t>Recebimento do cliente C00110</t>
  </si>
  <si>
    <t>3-104502/1</t>
  </si>
  <si>
    <t>3-104531/1</t>
  </si>
  <si>
    <t>2-107022/1</t>
  </si>
  <si>
    <t>2-106813/1</t>
  </si>
  <si>
    <t>CP3411</t>
  </si>
  <si>
    <t>Internet e telefonia - Filial Caxias do Sul - 11/2025</t>
  </si>
  <si>
    <t>1-110785/1</t>
  </si>
  <si>
    <t>1-110780/1</t>
  </si>
  <si>
    <t>1-110879/1</t>
  </si>
  <si>
    <t>1-110807/1</t>
  </si>
  <si>
    <t>3-104315/1</t>
  </si>
  <si>
    <t>3-104292/1</t>
  </si>
  <si>
    <t>3-104422/1</t>
  </si>
  <si>
    <t>3-104394/1</t>
  </si>
  <si>
    <t>1-110715/1</t>
  </si>
  <si>
    <t>3-104344/1</t>
  </si>
  <si>
    <t>1-110865/1</t>
  </si>
  <si>
    <t>3-104383/1</t>
  </si>
  <si>
    <t>1-110801/1</t>
  </si>
  <si>
    <t>3-104337/1</t>
  </si>
  <si>
    <t>2-106756/1</t>
  </si>
  <si>
    <t>1-110777/1</t>
  </si>
  <si>
    <t>1-110682/1</t>
  </si>
  <si>
    <t>2-106750/1</t>
  </si>
  <si>
    <t>2-106803/1</t>
  </si>
  <si>
    <t>1-110622/1</t>
  </si>
  <si>
    <t>1-110871/1</t>
  </si>
  <si>
    <t>2-106735/1</t>
  </si>
  <si>
    <t>1-110324/2</t>
  </si>
  <si>
    <t>1-110675/1</t>
  </si>
  <si>
    <t>1-110751/1</t>
  </si>
  <si>
    <t>1-110748/1</t>
  </si>
  <si>
    <t>3-104376/1</t>
  </si>
  <si>
    <t>2-106736/1</t>
  </si>
  <si>
    <t>2-106739/1</t>
  </si>
  <si>
    <t>1-110823/1</t>
  </si>
  <si>
    <t>Recebimento do cliente C00199</t>
  </si>
  <si>
    <t>2-106754/1</t>
  </si>
  <si>
    <t>1-110763/1</t>
  </si>
  <si>
    <t>1-110864/1</t>
  </si>
  <si>
    <t>1-110730/1</t>
  </si>
  <si>
    <t>2-106758/1</t>
  </si>
  <si>
    <t>1-110551/1</t>
  </si>
  <si>
    <t>1-111183/1</t>
  </si>
  <si>
    <t>1-111194/1</t>
  </si>
  <si>
    <t>2-106933/1</t>
  </si>
  <si>
    <t>Recebimento do cliente C00376</t>
  </si>
  <si>
    <t>1-111035/1</t>
  </si>
  <si>
    <t>Recebimento do cliente C00279</t>
  </si>
  <si>
    <t>2-107111/1</t>
  </si>
  <si>
    <t>3-104595/1</t>
  </si>
  <si>
    <t>Recebimento do cliente C00411</t>
  </si>
  <si>
    <t>3-104551/1</t>
  </si>
  <si>
    <t>3-104590/1</t>
  </si>
  <si>
    <t>1-110558/1</t>
  </si>
  <si>
    <t>1-110822/1</t>
  </si>
  <si>
    <t>1-111347/1</t>
  </si>
  <si>
    <t>2-106917/1</t>
  </si>
  <si>
    <t>Recebimento do cliente C00311</t>
  </si>
  <si>
    <t>3-104375/1</t>
  </si>
  <si>
    <t>2-106866/1</t>
  </si>
  <si>
    <t>1-111098/1</t>
  </si>
  <si>
    <t>2-106769/1</t>
  </si>
  <si>
    <t>1-111058/1</t>
  </si>
  <si>
    <t>1-110719/1</t>
  </si>
  <si>
    <t>1-110809/1</t>
  </si>
  <si>
    <t>2-106929/1</t>
  </si>
  <si>
    <t>2-106780/1</t>
  </si>
  <si>
    <t>1-111077/1</t>
  </si>
  <si>
    <t>3-104404/1</t>
  </si>
  <si>
    <t>3-104588/1</t>
  </si>
  <si>
    <t>Recebimento do cliente C00107</t>
  </si>
  <si>
    <t>2-106706/1</t>
  </si>
  <si>
    <t>2-106761/1</t>
  </si>
  <si>
    <t>2-106760/1</t>
  </si>
  <si>
    <t>3-104545/1</t>
  </si>
  <si>
    <t>2-107107/1</t>
  </si>
  <si>
    <t>Recebimento do cliente C00108</t>
  </si>
  <si>
    <t>3-104586/1</t>
  </si>
  <si>
    <t>3-104591/1</t>
  </si>
  <si>
    <t>1-111169/1</t>
  </si>
  <si>
    <t>1-111118/1</t>
  </si>
  <si>
    <t>Recebimento do cliente C00212</t>
  </si>
  <si>
    <t>CP3343</t>
  </si>
  <si>
    <t>Compra de mercadorias - pedido 51699</t>
  </si>
  <si>
    <t>1-110348/2</t>
  </si>
  <si>
    <t>2-107014/1</t>
  </si>
  <si>
    <t>3-104436/1</t>
  </si>
  <si>
    <t>2-107109/1</t>
  </si>
  <si>
    <t>2-106460/2</t>
  </si>
  <si>
    <t>3-104388/1</t>
  </si>
  <si>
    <t>1-110296/2</t>
  </si>
  <si>
    <t>1-110308/2</t>
  </si>
  <si>
    <t>3-104593/1</t>
  </si>
  <si>
    <t>1-110330/2</t>
  </si>
  <si>
    <t>1-111029/1</t>
  </si>
  <si>
    <t>2-106462/2</t>
  </si>
  <si>
    <t>1-110902/1</t>
  </si>
  <si>
    <t>1-110582/1</t>
  </si>
  <si>
    <t>Recebimento do cliente C00129</t>
  </si>
  <si>
    <t>2-106755/1</t>
  </si>
  <si>
    <t>1-111187/1</t>
  </si>
  <si>
    <t>3-104587/1</t>
  </si>
  <si>
    <t>1-111345/1</t>
  </si>
  <si>
    <t>1-111327/1</t>
  </si>
  <si>
    <t>2-106757/1</t>
  </si>
  <si>
    <t>1-110788/1</t>
  </si>
  <si>
    <t>1-111331/1</t>
  </si>
  <si>
    <t>2-106914/1</t>
  </si>
  <si>
    <t>3-104203/2</t>
  </si>
  <si>
    <t>2-106465/2</t>
  </si>
  <si>
    <t>1-110789/1</t>
  </si>
  <si>
    <t>2-107000/1</t>
  </si>
  <si>
    <t>CP3364</t>
  </si>
  <si>
    <t>Compra de mercadorias - pedido 51720</t>
  </si>
  <si>
    <t>2-106947/1</t>
  </si>
  <si>
    <t>1-111353/1</t>
  </si>
  <si>
    <t>1-110764/1</t>
  </si>
  <si>
    <t>2-106481/2</t>
  </si>
  <si>
    <t>1-111096/1</t>
  </si>
  <si>
    <t>2-106962/1</t>
  </si>
  <si>
    <t>1-110820/1</t>
  </si>
  <si>
    <t>3-104613/1</t>
  </si>
  <si>
    <t>1-111267/1</t>
  </si>
  <si>
    <t>3-104399/1</t>
  </si>
  <si>
    <t>2-106731/1</t>
  </si>
  <si>
    <t>1-110827/1</t>
  </si>
  <si>
    <t>1-110810/1</t>
  </si>
  <si>
    <t>2-106960/1</t>
  </si>
  <si>
    <t>1-111370/1</t>
  </si>
  <si>
    <t>1-111234/1</t>
  </si>
  <si>
    <t>3-104600/1</t>
  </si>
  <si>
    <t>2-106779/1</t>
  </si>
  <si>
    <t>1-110745/1</t>
  </si>
  <si>
    <t>2-106883/1</t>
  </si>
  <si>
    <t>1-111231/1</t>
  </si>
  <si>
    <t>2-107138/1</t>
  </si>
  <si>
    <t>2-106857/1</t>
  </si>
  <si>
    <t>2-106965/1</t>
  </si>
  <si>
    <t>Recebimento do cliente C00362</t>
  </si>
  <si>
    <t>2-106937/1</t>
  </si>
  <si>
    <t>CP3380</t>
  </si>
  <si>
    <t>Compra de mercadorias - pedido 51737</t>
  </si>
  <si>
    <t>CP3378</t>
  </si>
  <si>
    <t>Compra de mercadorias - pedido 51736</t>
  </si>
  <si>
    <t>2-107137/1</t>
  </si>
  <si>
    <t>2-106503/2</t>
  </si>
  <si>
    <t>1-111104/1</t>
  </si>
  <si>
    <t>Recebimento do cliente C00409</t>
  </si>
  <si>
    <t>3-104499/1</t>
  </si>
  <si>
    <t>1-111073/1</t>
  </si>
  <si>
    <t>3-104225/2</t>
  </si>
  <si>
    <t>1-111367/1</t>
  </si>
  <si>
    <t>CP3415</t>
  </si>
  <si>
    <t>Combustível frota - Filial Pelotas - 2ª quinzena 11/2025</t>
  </si>
  <si>
    <t>1-110328/2</t>
  </si>
  <si>
    <t>1-110956/1</t>
  </si>
  <si>
    <t>Recebimento do cliente C00080</t>
  </si>
  <si>
    <t>1-110819/1</t>
  </si>
  <si>
    <t>3-104384/1</t>
  </si>
  <si>
    <t>1-111069/1</t>
  </si>
  <si>
    <t>1-111208/1</t>
  </si>
  <si>
    <t>Recebimento do cliente C00185</t>
  </si>
  <si>
    <t>1-111196/1</t>
  </si>
  <si>
    <t>2-106942/1</t>
  </si>
  <si>
    <t>1-110842/1</t>
  </si>
  <si>
    <t>2-106763/1</t>
  </si>
  <si>
    <t>2-106505/2</t>
  </si>
  <si>
    <t>2-106853/1</t>
  </si>
  <si>
    <t>Recebimento do cliente C00346</t>
  </si>
  <si>
    <t>2-107152/1</t>
  </si>
  <si>
    <t>2-107149/1</t>
  </si>
  <si>
    <t>2-107063/1</t>
  </si>
  <si>
    <t>2-107142/1</t>
  </si>
  <si>
    <t>3-104615/1</t>
  </si>
  <si>
    <t>1-111383/1</t>
  </si>
  <si>
    <t>2-107038/1</t>
  </si>
  <si>
    <t>1-111009/1</t>
  </si>
  <si>
    <t>1-111387/1</t>
  </si>
  <si>
    <t>1-111229/1</t>
  </si>
  <si>
    <t>1-111007/1</t>
  </si>
  <si>
    <t>2-107147/1</t>
  </si>
  <si>
    <t>2-107150/1</t>
  </si>
  <si>
    <t>3-104563/1</t>
  </si>
  <si>
    <t>1-111400/1</t>
  </si>
  <si>
    <t>3-104622/1</t>
  </si>
  <si>
    <t>1-111240/1</t>
  </si>
  <si>
    <t>1-111386/1</t>
  </si>
  <si>
    <t>1-111281/1</t>
  </si>
  <si>
    <t>1-111223/1</t>
  </si>
  <si>
    <t>1-111265/1</t>
  </si>
  <si>
    <t>2-107056/1</t>
  </si>
  <si>
    <t>3-104617/1</t>
  </si>
  <si>
    <t>1-111401/1</t>
  </si>
  <si>
    <t>2-107074/1</t>
  </si>
  <si>
    <t>1-110945/1</t>
  </si>
  <si>
    <t>1-110860/1</t>
  </si>
  <si>
    <t>2-106796/1</t>
  </si>
  <si>
    <t>1-110844/1</t>
  </si>
  <si>
    <t>Recebimento do cliente C00126</t>
  </si>
  <si>
    <t>1-110342/2</t>
  </si>
  <si>
    <t>1-110826/1</t>
  </si>
  <si>
    <t>2-106784/1</t>
  </si>
  <si>
    <t>2-106789/1</t>
  </si>
  <si>
    <t>1-111116/1</t>
  </si>
  <si>
    <t>1-110943/1</t>
  </si>
  <si>
    <t>CP3348</t>
  </si>
  <si>
    <t>Compra de mercadorias - pedido 51709</t>
  </si>
  <si>
    <t>2-107151/1</t>
  </si>
  <si>
    <t>2-106945/1</t>
  </si>
  <si>
    <t>Recebimento do cliente C00177</t>
  </si>
  <si>
    <t>1-111099/1</t>
  </si>
  <si>
    <t>2-107045/1</t>
  </si>
  <si>
    <t>Recebimento do cliente C00201</t>
  </si>
  <si>
    <t>2-106869/1</t>
  </si>
  <si>
    <t>2-107065/1</t>
  </si>
  <si>
    <t>1-111397/1</t>
  </si>
  <si>
    <t>1-111393/1</t>
  </si>
  <si>
    <t>2-107157/1</t>
  </si>
  <si>
    <t>1-111269/1</t>
  </si>
  <si>
    <t>1-111425/1</t>
  </si>
  <si>
    <t>2-106795/1</t>
  </si>
  <si>
    <t>1-111411/1</t>
  </si>
  <si>
    <t>1-111252/1</t>
  </si>
  <si>
    <t>1-111413/1</t>
  </si>
  <si>
    <t>2-107159/1</t>
  </si>
  <si>
    <t>2-107066/1</t>
  </si>
  <si>
    <t>3-104224/2</t>
  </si>
  <si>
    <t>1-111415/1</t>
  </si>
  <si>
    <t>3-104631/1</t>
  </si>
  <si>
    <t>3-104623/1</t>
  </si>
  <si>
    <t>1-111276/1</t>
  </si>
  <si>
    <t>Recebimento do cliente C00295</t>
  </si>
  <si>
    <t>1-111261/1</t>
  </si>
  <si>
    <t>CP3368</t>
  </si>
  <si>
    <t>Compra de mercadorias - pedido 51723</t>
  </si>
  <si>
    <t>1-110365/2</t>
  </si>
  <si>
    <t>1-110363/2</t>
  </si>
  <si>
    <t>1-110249/2</t>
  </si>
  <si>
    <t>CP3397</t>
  </si>
  <si>
    <t>Compra de mercadorias - pedido 51740</t>
  </si>
  <si>
    <t>3-104522/1</t>
  </si>
  <si>
    <t>CP3351</t>
  </si>
  <si>
    <t>Compra de mercadorias - pedido 51711</t>
  </si>
  <si>
    <t>1-111109/1</t>
  </si>
  <si>
    <t>2-106939/1</t>
  </si>
  <si>
    <t>1-110971/1</t>
  </si>
  <si>
    <t>2-107170/1</t>
  </si>
  <si>
    <t>3-104625/1</t>
  </si>
  <si>
    <t>1-111428/1</t>
  </si>
  <si>
    <t>Recebimento do cliente C00255</t>
  </si>
  <si>
    <t>2-106872/1</t>
  </si>
  <si>
    <t>1-110846/1</t>
  </si>
  <si>
    <t>2-107162/1</t>
  </si>
  <si>
    <t>1-111438/1</t>
  </si>
  <si>
    <t>3-104628/1</t>
  </si>
  <si>
    <t>1-111277/1</t>
  </si>
  <si>
    <t>1-110839/1</t>
  </si>
  <si>
    <t>2-107168/1</t>
  </si>
  <si>
    <t>1-111409/1</t>
  </si>
  <si>
    <t>2-106742/1</t>
  </si>
  <si>
    <t>3-104535/1</t>
  </si>
  <si>
    <t>2-107185/1</t>
  </si>
  <si>
    <t>1-111299/1</t>
  </si>
  <si>
    <t>3-104592/1</t>
  </si>
  <si>
    <t>1-111460/1</t>
  </si>
  <si>
    <t>2-107086/1</t>
  </si>
  <si>
    <t>1-111473/1</t>
  </si>
  <si>
    <t>2-106751/1</t>
  </si>
  <si>
    <t>3-104584/1</t>
  </si>
  <si>
    <t>3-104578/1</t>
  </si>
  <si>
    <t>2-107031/1</t>
  </si>
  <si>
    <t>1-111334/1</t>
  </si>
  <si>
    <t>3-104491/1</t>
  </si>
  <si>
    <t>2-107099/1</t>
  </si>
  <si>
    <t>3-104658/1</t>
  </si>
  <si>
    <t>2-107122/1</t>
  </si>
  <si>
    <t>3-104601/1</t>
  </si>
  <si>
    <t>2-106931/1</t>
  </si>
  <si>
    <t>1-111114/1</t>
  </si>
  <si>
    <t>1-111041/1</t>
  </si>
  <si>
    <t>2-107182/1</t>
  </si>
  <si>
    <t>1-111316/1</t>
  </si>
  <si>
    <t>1-110773/1</t>
  </si>
  <si>
    <t>1-111450/1</t>
  </si>
  <si>
    <t>1-111317/1</t>
  </si>
  <si>
    <t>1-111344/1</t>
  </si>
  <si>
    <t>2-107096/1</t>
  </si>
  <si>
    <t>2-107110/1</t>
  </si>
  <si>
    <t>1-111459/1</t>
  </si>
  <si>
    <t>1-111440/1</t>
  </si>
  <si>
    <t>3-104647/1</t>
  </si>
  <si>
    <t>1-111065/1</t>
  </si>
  <si>
    <t>3-104648/1</t>
  </si>
  <si>
    <t>1-111290/1</t>
  </si>
  <si>
    <t>CP3418</t>
  </si>
  <si>
    <t>ICMS apurado - 11/2025</t>
  </si>
  <si>
    <t>1-111162/1</t>
  </si>
  <si>
    <t>CP3371</t>
  </si>
  <si>
    <t>Compra de mercadorias - pedido 51725</t>
  </si>
  <si>
    <t>CP3353</t>
  </si>
  <si>
    <t>Compra de mercadorias - pedido 51715</t>
  </si>
  <si>
    <t>3-104442/1</t>
  </si>
  <si>
    <t>CP3450</t>
  </si>
  <si>
    <t>Compra de mercadorias - pedido 51749</t>
  </si>
  <si>
    <t>2-106846/1</t>
  </si>
  <si>
    <t>1-110393/2</t>
  </si>
  <si>
    <t>1-110396/2</t>
  </si>
  <si>
    <t>3-104607/1</t>
  </si>
  <si>
    <t>Recebimento do cliente C00259</t>
  </si>
  <si>
    <t>1-110928/1</t>
  </si>
  <si>
    <t>2-106849/1</t>
  </si>
  <si>
    <t>Recebimento do cliente C00269</t>
  </si>
  <si>
    <t>2-106510/2</t>
  </si>
  <si>
    <t>3-104233/2</t>
  </si>
  <si>
    <t>2-106524/2</t>
  </si>
  <si>
    <t>CP3422</t>
  </si>
  <si>
    <t>INSS/FGTS Logística - Matriz Porto Alegre - 11/2025</t>
  </si>
  <si>
    <t>1-110932/1</t>
  </si>
  <si>
    <t>3-104538/1</t>
  </si>
  <si>
    <t>1-110933/1</t>
  </si>
  <si>
    <t>1-111156/1</t>
  </si>
  <si>
    <t>Recebimento do cliente C00307</t>
  </si>
  <si>
    <t>CP3420</t>
  </si>
  <si>
    <t>INSS/FGTS Diretoria - Matriz Porto Alegre - 11/2025</t>
  </si>
  <si>
    <t>1-111155/1</t>
  </si>
  <si>
    <t>2-106989/1</t>
  </si>
  <si>
    <t>CP3449</t>
  </si>
  <si>
    <t>Compra de mercadorias - pedido 51748</t>
  </si>
  <si>
    <t>1-110446/2</t>
  </si>
  <si>
    <t>1-111484/1</t>
  </si>
  <si>
    <t>1-110930/1</t>
  </si>
  <si>
    <t>1-110380/2</t>
  </si>
  <si>
    <t>1-110378/2</t>
  </si>
  <si>
    <t>3-104418/1</t>
  </si>
  <si>
    <t>1-111186/1</t>
  </si>
  <si>
    <t>1-110883/1</t>
  </si>
  <si>
    <t>1-110316/2</t>
  </si>
  <si>
    <t>1-110891/1</t>
  </si>
  <si>
    <t>1-110894/1</t>
  </si>
  <si>
    <t>2-106815/1</t>
  </si>
  <si>
    <t>2-107136/1</t>
  </si>
  <si>
    <t>3-104432/1</t>
  </si>
  <si>
    <t>1-110285/2</t>
  </si>
  <si>
    <t>1-111178/1</t>
  </si>
  <si>
    <t>1-110880/1</t>
  </si>
  <si>
    <t>2-106452/2</t>
  </si>
  <si>
    <t>1-111300/1</t>
  </si>
  <si>
    <t>2-106805/1</t>
  </si>
  <si>
    <t>1-110905/1</t>
  </si>
  <si>
    <t>1-110877/1</t>
  </si>
  <si>
    <t>1-110355/2</t>
  </si>
  <si>
    <t>1-110909/1</t>
  </si>
  <si>
    <t>3-104419/1</t>
  </si>
  <si>
    <t>1-110869/1</t>
  </si>
  <si>
    <t>2-106409/1</t>
  </si>
  <si>
    <t>1-110912/1</t>
  </si>
  <si>
    <t>1-110867/1</t>
  </si>
  <si>
    <t>1-111363/1</t>
  </si>
  <si>
    <t>1-110914/1</t>
  </si>
  <si>
    <t>1-110166/2</t>
  </si>
  <si>
    <t>1-110916/1</t>
  </si>
  <si>
    <t>Recebimento do cliente C00367</t>
  </si>
  <si>
    <t>2-106550/1</t>
  </si>
  <si>
    <t>3-104408/1</t>
  </si>
  <si>
    <t>2-106544/2</t>
  </si>
  <si>
    <t>1-111154/1</t>
  </si>
  <si>
    <t>CP3433</t>
  </si>
  <si>
    <t>INSS/FGTS Administrativo - Filial Pelotas - 11/2025</t>
  </si>
  <si>
    <t>3-104526/1</t>
  </si>
  <si>
    <t>CP3430</t>
  </si>
  <si>
    <t>INSS/FGTS Administrativo - Filial Caxias do Sul - 11/2025</t>
  </si>
  <si>
    <t>2-106973/1</t>
  </si>
  <si>
    <t>2-106894/1</t>
  </si>
  <si>
    <t>3-104525/1</t>
  </si>
  <si>
    <t>Recebimento do cliente C00280</t>
  </si>
  <si>
    <t>3-104606/1</t>
  </si>
  <si>
    <t>Recebimento do cliente C00257</t>
  </si>
  <si>
    <t>1-111457/1</t>
  </si>
  <si>
    <t>1-111203/1</t>
  </si>
  <si>
    <t>1-111469/1</t>
  </si>
  <si>
    <t>2-107077/1</t>
  </si>
  <si>
    <t>Recebimento do cliente C00081</t>
  </si>
  <si>
    <t>1-111348/1</t>
  </si>
  <si>
    <t>1-111456/1</t>
  </si>
  <si>
    <t>2-106971/1</t>
  </si>
  <si>
    <t>1-111445/1</t>
  </si>
  <si>
    <t>2-106904/1</t>
  </si>
  <si>
    <t>Recebimento do cliente C00401</t>
  </si>
  <si>
    <t>1-111314/1</t>
  </si>
  <si>
    <t>Recebimento do cliente C00271</t>
  </si>
  <si>
    <t>2-107025/1</t>
  </si>
  <si>
    <t>2-106906/1</t>
  </si>
  <si>
    <t>2-106968/1</t>
  </si>
  <si>
    <t>1-111017/1</t>
  </si>
  <si>
    <t>2-107075/1</t>
  </si>
  <si>
    <t>1-111298/1</t>
  </si>
  <si>
    <t>2-107080/1</t>
  </si>
  <si>
    <t>2-106809/1</t>
  </si>
  <si>
    <t>1-111020/1</t>
  </si>
  <si>
    <t>3-104602/1</t>
  </si>
  <si>
    <t>Recebimento do cliente C00115</t>
  </si>
  <si>
    <t>3-104554/1</t>
  </si>
  <si>
    <t>CP3427</t>
  </si>
  <si>
    <t>INSS/FGTS Administrativo - Matriz Porto Alegre - 11/2025</t>
  </si>
  <si>
    <t>CP3424</t>
  </si>
  <si>
    <t>INSS/FGTS Recursos Humanos - Matriz Porto Alegre - 11/2025</t>
  </si>
  <si>
    <t>2-106982/1</t>
  </si>
  <si>
    <t>CP3370</t>
  </si>
  <si>
    <t>Compra de mercadorias - pedido 51730</t>
  </si>
  <si>
    <t>2-106986/1</t>
  </si>
  <si>
    <t>3-104458/1</t>
  </si>
  <si>
    <t>Recebimento do cliente C00168</t>
  </si>
  <si>
    <t>1-111152/1</t>
  </si>
  <si>
    <t>CP3372</t>
  </si>
  <si>
    <t>Compra de mercadorias - pedido 51712</t>
  </si>
  <si>
    <t>CP3421</t>
  </si>
  <si>
    <t>INSS/FGTS Comercial - Matriz Porto Alegre - 11/2025</t>
  </si>
  <si>
    <t>1-110466/1</t>
  </si>
  <si>
    <t>2-107177/1</t>
  </si>
  <si>
    <t>2-106983/1</t>
  </si>
  <si>
    <t>CP3354</t>
  </si>
  <si>
    <t>Compra de mercadorias - pedido 51707</t>
  </si>
  <si>
    <t>CP3429</t>
  </si>
  <si>
    <t>INSS/FGTS Logística - Filial Caxias do Sul - 11/2025</t>
  </si>
  <si>
    <t>1-111150/1</t>
  </si>
  <si>
    <t>1-111135/1</t>
  </si>
  <si>
    <t>CP3423</t>
  </si>
  <si>
    <t>INSS/FGTS Financeiro - Matriz Porto Alegre - 11/2025</t>
  </si>
  <si>
    <t>1-111310/1</t>
  </si>
  <si>
    <t>3-104398/1</t>
  </si>
  <si>
    <t>CP3374</t>
  </si>
  <si>
    <t>Compra de mercadorias - pedido 51734</t>
  </si>
  <si>
    <t>CP3431</t>
  </si>
  <si>
    <t>INSS/FGTS Comercial - Filial Pelotas - 11/2025</t>
  </si>
  <si>
    <t>1-110979/1</t>
  </si>
  <si>
    <t>CP3457</t>
  </si>
  <si>
    <t>Licença do ERP e suporte - 12/2025</t>
  </si>
  <si>
    <t>1-111137/1</t>
  </si>
  <si>
    <t>CP3376</t>
  </si>
  <si>
    <t>Compra de mercadorias - pedido 51732</t>
  </si>
  <si>
    <t>CP3425</t>
  </si>
  <si>
    <t>INSS/FGTS Compras - Matriz Porto Alegre - 11/2025</t>
  </si>
  <si>
    <t>CP3432</t>
  </si>
  <si>
    <t>INSS/FGTS Logística - Filial Pelotas - 11/2025</t>
  </si>
  <si>
    <t>1-111202/1</t>
  </si>
  <si>
    <t>Recebimento do cliente C00094</t>
  </si>
  <si>
    <t>CP3428</t>
  </si>
  <si>
    <t>INSS/FGTS Comercial - Filial Caxias do Sul - 11/2025</t>
  </si>
  <si>
    <t>2-106981/1</t>
  </si>
  <si>
    <t>CP3401</t>
  </si>
  <si>
    <t>Compra de mercadorias - pedido 51739</t>
  </si>
  <si>
    <t>CP3426</t>
  </si>
  <si>
    <t>INSS/FGTS Tecnologia da Informação - Matriz Porto Alegre - 11/2025</t>
  </si>
  <si>
    <t>1-111213/1</t>
  </si>
  <si>
    <t>1-111177/1</t>
  </si>
  <si>
    <t>3-104552/1</t>
  </si>
  <si>
    <t>Recebimento do cliente C00369</t>
  </si>
  <si>
    <t>2-107001/1</t>
  </si>
  <si>
    <t>2-106996/1</t>
  </si>
  <si>
    <t>1-111513/1</t>
  </si>
  <si>
    <t>3-104671/1</t>
  </si>
  <si>
    <t>3-104616/1</t>
  </si>
  <si>
    <t>2-107106/1</t>
  </si>
  <si>
    <t>2-106561/2</t>
  </si>
  <si>
    <t>1-110410/2</t>
  </si>
  <si>
    <t>1-111185/1</t>
  </si>
  <si>
    <t>1-110418/2</t>
  </si>
  <si>
    <t>1-110850/1</t>
  </si>
  <si>
    <t>1-110936/1</t>
  </si>
  <si>
    <t>3-104571/1</t>
  </si>
  <si>
    <t>3-104673/1</t>
  </si>
  <si>
    <t>3-104661/1</t>
  </si>
  <si>
    <t>3-104259/2</t>
  </si>
  <si>
    <t>2-107154/1</t>
  </si>
  <si>
    <t>2-106598/1</t>
  </si>
  <si>
    <t>2-106864/1</t>
  </si>
  <si>
    <t>3-104620/1</t>
  </si>
  <si>
    <t>2-106554/2</t>
  </si>
  <si>
    <t>1-111379/1</t>
  </si>
  <si>
    <t>3-104670/1</t>
  </si>
  <si>
    <t>2-106861/1</t>
  </si>
  <si>
    <t>2-107116/1</t>
  </si>
  <si>
    <t>1-110921/1</t>
  </si>
  <si>
    <t>3-104440/1</t>
  </si>
  <si>
    <t>1-110917/1</t>
  </si>
  <si>
    <t>1-111214/1</t>
  </si>
  <si>
    <t>1-111326/1</t>
  </si>
  <si>
    <t>Recebimento do cliente C00063</t>
  </si>
  <si>
    <t>1-110896/1</t>
  </si>
  <si>
    <t>1-111330/1</t>
  </si>
  <si>
    <t>1-111224/1</t>
  </si>
  <si>
    <t>1-111325/1</t>
  </si>
  <si>
    <t>1-111324/1</t>
  </si>
  <si>
    <t>2-107044/1</t>
  </si>
  <si>
    <t>2-107100/1</t>
  </si>
  <si>
    <t>Recebimento do cliente C00020</t>
  </si>
  <si>
    <t>2-106825/1</t>
  </si>
  <si>
    <t>1-111237/1</t>
  </si>
  <si>
    <t>1-111377/1</t>
  </si>
  <si>
    <t>1-111508/1</t>
  </si>
  <si>
    <t>2-106833/1</t>
  </si>
  <si>
    <t>2-107201/1</t>
  </si>
  <si>
    <t>3-104663/1</t>
  </si>
  <si>
    <t>1-111385/1</t>
  </si>
  <si>
    <t>2-107053/1</t>
  </si>
  <si>
    <t>Recebimento do cliente C00375</t>
  </si>
  <si>
    <t>1-111510/1</t>
  </si>
  <si>
    <t>3-104579/1</t>
  </si>
  <si>
    <t>2-106837/1</t>
  </si>
  <si>
    <t>1-110949/1</t>
  </si>
  <si>
    <t>3-104459/1</t>
  </si>
  <si>
    <t>3-104494/1</t>
  </si>
  <si>
    <t>Recebimento do cliente C00215</t>
  </si>
  <si>
    <t>2-106793/1</t>
  </si>
  <si>
    <t>1-111434/1</t>
  </si>
  <si>
    <t>Recebimento do cliente C00324</t>
  </si>
  <si>
    <t>3-104452/1</t>
  </si>
  <si>
    <t>1-110442/2</t>
  </si>
  <si>
    <t>2-106856/1</t>
  </si>
  <si>
    <t>1-110851/1</t>
  </si>
  <si>
    <t>1-110925/1</t>
  </si>
  <si>
    <t>1-111322/1</t>
  </si>
  <si>
    <t>2-106860/1</t>
  </si>
  <si>
    <t>2-106954/1</t>
  </si>
  <si>
    <t>2-107130/1</t>
  </si>
  <si>
    <t>1-111349/1</t>
  </si>
  <si>
    <t>1-111519/1</t>
  </si>
  <si>
    <t>3-104681/1</t>
  </si>
  <si>
    <t>2-107030/1</t>
  </si>
  <si>
    <t>1-111416/1</t>
  </si>
  <si>
    <t>1-110965/1</t>
  </si>
  <si>
    <t>CP3365</t>
  </si>
  <si>
    <t>Compra de mercadorias - pedido 51721</t>
  </si>
  <si>
    <t>2-106936/1</t>
  </si>
  <si>
    <t>2-107060/1</t>
  </si>
  <si>
    <t>CP3379</t>
  </si>
  <si>
    <t>Compra de mercadorias - pedido 51733</t>
  </si>
  <si>
    <t>1-111071/1</t>
  </si>
  <si>
    <t>2-107042/1</t>
  </si>
  <si>
    <t>2-106927/1</t>
  </si>
  <si>
    <t>1-111210/1</t>
  </si>
  <si>
    <t>1-110765/1</t>
  </si>
  <si>
    <t>3-104564/1</t>
  </si>
  <si>
    <t>1-111374/1</t>
  </si>
  <si>
    <t>1-111122/1</t>
  </si>
  <si>
    <t>3-104627/1</t>
  </si>
  <si>
    <t>2-107217/1</t>
  </si>
  <si>
    <t>1-111101/1</t>
  </si>
  <si>
    <t>Recebimento do cliente C00364</t>
  </si>
  <si>
    <t>2-107071/1</t>
  </si>
  <si>
    <t>3-104269/2</t>
  </si>
  <si>
    <t>3-104676/1</t>
  </si>
  <si>
    <t>1-111391/1</t>
  </si>
  <si>
    <t>3-104611/1</t>
  </si>
  <si>
    <t>2-107206/1</t>
  </si>
  <si>
    <t>2-107218/1</t>
  </si>
  <si>
    <t>2-107129/1</t>
  </si>
  <si>
    <t>1-110974/1</t>
  </si>
  <si>
    <t>1-111532/1</t>
  </si>
  <si>
    <t>2-107210/1</t>
  </si>
  <si>
    <t>3-104624/1</t>
  </si>
  <si>
    <t>1-111368/1</t>
  </si>
  <si>
    <t>1-111529/1</t>
  </si>
  <si>
    <t>Recebimento do cliente C00194</t>
  </si>
  <si>
    <t>1-111518/1</t>
  </si>
  <si>
    <t>1-111528/1</t>
  </si>
  <si>
    <t>1-111242/1</t>
  </si>
  <si>
    <t>1-111243/1</t>
  </si>
  <si>
    <t>3-104618/1</t>
  </si>
  <si>
    <t>1-111246/1</t>
  </si>
  <si>
    <t>1-111414/1</t>
  </si>
  <si>
    <t>2-107055/1</t>
  </si>
  <si>
    <t>2-107082/1</t>
  </si>
  <si>
    <t>1-111417/1</t>
  </si>
  <si>
    <t>Recebimento do cliente C00113</t>
  </si>
  <si>
    <t>1-111430/1</t>
  </si>
  <si>
    <t>1-111407/1</t>
  </si>
  <si>
    <t>3-104619/1</t>
  </si>
  <si>
    <t>1-111381/1</t>
  </si>
  <si>
    <t>2-107163/1</t>
  </si>
  <si>
    <t>2-107058/1</t>
  </si>
  <si>
    <t>2-106727/1</t>
  </si>
  <si>
    <t>1-110170/2</t>
  </si>
  <si>
    <t>1-110187/2</t>
  </si>
  <si>
    <t>1-110955/1</t>
  </si>
  <si>
    <t>2-106967/1</t>
  </si>
  <si>
    <t>2-106880/1</t>
  </si>
  <si>
    <t>1-110948/1</t>
  </si>
  <si>
    <t>Recebimento do cliente C00133</t>
  </si>
  <si>
    <t>2-106575/2</t>
  </si>
  <si>
    <t>1-110952/1</t>
  </si>
  <si>
    <t>1-110904/1</t>
  </si>
  <si>
    <t>1-110964/1</t>
  </si>
  <si>
    <t>3-104264/2</t>
  </si>
  <si>
    <t>1-110967/1</t>
  </si>
  <si>
    <t>2-106560/2</t>
  </si>
  <si>
    <t>1-110473/2</t>
  </si>
  <si>
    <t>3-104450/1</t>
  </si>
  <si>
    <t>1-110471/2</t>
  </si>
  <si>
    <t>2-106821/1</t>
  </si>
  <si>
    <t>3-104497/1</t>
  </si>
  <si>
    <t>2-107234/1</t>
  </si>
  <si>
    <t>1-111565/1</t>
  </si>
  <si>
    <t>1-111431/1</t>
  </si>
  <si>
    <t>1-111286/1</t>
  </si>
  <si>
    <t>1-111028/1</t>
  </si>
  <si>
    <t>Recebimento do cliente C00226</t>
  </si>
  <si>
    <t>3-104687/1</t>
  </si>
  <si>
    <t>3-104692/1</t>
  </si>
  <si>
    <t>2-107228/1</t>
  </si>
  <si>
    <t>1-111288/1</t>
  </si>
  <si>
    <t>2-107229/1</t>
  </si>
  <si>
    <t>1-111557/1</t>
  </si>
  <si>
    <t>2-107169/1</t>
  </si>
  <si>
    <t>2-107003/1</t>
  </si>
  <si>
    <t>2-107067/1</t>
  </si>
  <si>
    <t>Recebimento do cliente C00153</t>
  </si>
  <si>
    <t>1-110432/2</t>
  </si>
  <si>
    <t>1-110972/1</t>
  </si>
  <si>
    <t>1-111278/1</t>
  </si>
  <si>
    <t>1-110966/1</t>
  </si>
  <si>
    <t>1-111275/1</t>
  </si>
  <si>
    <t>1-111283/1</t>
  </si>
  <si>
    <t>2-106871/1</t>
  </si>
  <si>
    <t>1-110960/1</t>
  </si>
  <si>
    <t>1-110954/1</t>
  </si>
  <si>
    <t>1-111404/1</t>
  </si>
  <si>
    <t>3-104626/1</t>
  </si>
  <si>
    <t>3-104569/1</t>
  </si>
  <si>
    <t>1-111410/1</t>
  </si>
  <si>
    <t>3-104330/1</t>
  </si>
  <si>
    <t>Recebimento do cliente C00204</t>
  </si>
  <si>
    <t>1-111419/1</t>
  </si>
  <si>
    <t>3-104629/1</t>
  </si>
  <si>
    <t>1-111424/1</t>
  </si>
  <si>
    <t>2-107222/1</t>
  </si>
  <si>
    <t>Recebimento do cliente C00075</t>
  </si>
  <si>
    <t>2-106879/1</t>
  </si>
  <si>
    <t>CP3508</t>
  </si>
  <si>
    <t>Combustível frota - Filial Caxias do Sul - 1ª quinzena 12/2025</t>
  </si>
  <si>
    <t>CP3400</t>
  </si>
  <si>
    <t>Compra de mercadorias - pedido 51727</t>
  </si>
  <si>
    <t>CP3507</t>
  </si>
  <si>
    <t>Combustível frota - Matriz Porto Alegre - 1ª quinzena 12/2025</t>
  </si>
  <si>
    <t>2-106570/2</t>
  </si>
  <si>
    <t>CP3395</t>
  </si>
  <si>
    <t>Compra de mercadorias - pedido 51724</t>
  </si>
  <si>
    <t>CP3467</t>
  </si>
  <si>
    <t>Compra de mercadorias - pedido 51761</t>
  </si>
  <si>
    <t>2-107225/1</t>
  </si>
  <si>
    <t>3-104557/1</t>
  </si>
  <si>
    <t>CP3366</t>
  </si>
  <si>
    <t>Compra de mercadorias - pedido 51719</t>
  </si>
  <si>
    <t>CP3398</t>
  </si>
  <si>
    <t>Compra de mercadorias - pedido 51741</t>
  </si>
  <si>
    <t>CP3509</t>
  </si>
  <si>
    <t>Combustível frota - Filial Pelotas - 1ª quinzena 12/2025</t>
  </si>
  <si>
    <t>1-111100/1</t>
  </si>
  <si>
    <t>Recebimento do cliente C00338</t>
  </si>
  <si>
    <t>1-111130/1</t>
  </si>
  <si>
    <t>1-111545/1</t>
  </si>
  <si>
    <t>1-111555/1</t>
  </si>
  <si>
    <t>1-111235/1</t>
  </si>
  <si>
    <t>1-111050/1</t>
  </si>
  <si>
    <t>2-106526/2</t>
  </si>
  <si>
    <t>3-104694/1</t>
  </si>
  <si>
    <t>1-110493/2</t>
  </si>
  <si>
    <t>1-110888/1</t>
  </si>
  <si>
    <t>1-110499/2</t>
  </si>
  <si>
    <t>1-111206/1</t>
  </si>
  <si>
    <t>1-111540/1</t>
  </si>
  <si>
    <t>3-104693/1</t>
  </si>
  <si>
    <t>Recebimento do cliente C00315</t>
  </si>
  <si>
    <t>CP3419</t>
  </si>
  <si>
    <t>PIS/COFINS apurado - 11/2025</t>
  </si>
  <si>
    <t>3-104609/1</t>
  </si>
  <si>
    <t>1-111607/1</t>
  </si>
  <si>
    <t>2-107115/1</t>
  </si>
  <si>
    <t>1-111338/1</t>
  </si>
  <si>
    <t>3-104714/1</t>
  </si>
  <si>
    <t>1-110537/2</t>
  </si>
  <si>
    <t>2-106593/2</t>
  </si>
  <si>
    <t>1-111372/1</t>
  </si>
  <si>
    <t>1-111357/1</t>
  </si>
  <si>
    <t>1-111603/1</t>
  </si>
  <si>
    <t>3-104281/2</t>
  </si>
  <si>
    <t>2-106587/2</t>
  </si>
  <si>
    <t>1-110536/2</t>
  </si>
  <si>
    <t>1-108786/2</t>
  </si>
  <si>
    <t>1-110526/2</t>
  </si>
  <si>
    <t>2-107261/1</t>
  </si>
  <si>
    <t>1-111589/1</t>
  </si>
  <si>
    <t>2-106600/2</t>
  </si>
  <si>
    <t>1-110529/2</t>
  </si>
  <si>
    <t>1-111356/1</t>
  </si>
  <si>
    <t>3-104288/2</t>
  </si>
  <si>
    <t>1-111423/1</t>
  </si>
  <si>
    <t>2-107141/1</t>
  </si>
  <si>
    <t>2-107189/1</t>
  </si>
  <si>
    <t>2-107190/1</t>
  </si>
  <si>
    <t>2-107192/1</t>
  </si>
  <si>
    <t>1-111490/1</t>
  </si>
  <si>
    <t>1-111493/1</t>
  </si>
  <si>
    <t>3-104660/1</t>
  </si>
  <si>
    <t>1-111503/1</t>
  </si>
  <si>
    <t>3-104668/1</t>
  </si>
  <si>
    <t>2-107243/1</t>
  </si>
  <si>
    <t>1-111580/1</t>
  </si>
  <si>
    <t>2-107242/1</t>
  </si>
  <si>
    <t>1-111522/1</t>
  </si>
  <si>
    <t>2-107241/1</t>
  </si>
  <si>
    <t>1-111524/1</t>
  </si>
  <si>
    <t>1-111577/1</t>
  </si>
  <si>
    <t>1-111527/1</t>
  </si>
  <si>
    <t>3-104678/1</t>
  </si>
  <si>
    <t>1-111536/1</t>
  </si>
  <si>
    <t>1-111595/1</t>
  </si>
  <si>
    <t>2-107254/1</t>
  </si>
  <si>
    <t>1-111573/1</t>
  </si>
  <si>
    <t>1-111476/1</t>
  </si>
  <si>
    <t>1-110546/2</t>
  </si>
  <si>
    <t>2-107184/1</t>
  </si>
  <si>
    <t>1-111464/1</t>
  </si>
  <si>
    <t>2-106605/2</t>
  </si>
  <si>
    <t>2-106616/2</t>
  </si>
  <si>
    <t>CP3396</t>
  </si>
  <si>
    <t>Compra de equipamentos de informática</t>
  </si>
  <si>
    <t>CP3448</t>
  </si>
  <si>
    <t>Compra de mercadorias - pedido 51744</t>
  </si>
  <si>
    <t>CP3453</t>
  </si>
  <si>
    <t>Compra de mercadorias - pedido 51742</t>
  </si>
  <si>
    <t>1-111587/1</t>
  </si>
  <si>
    <t>1-111585/1</t>
  </si>
  <si>
    <t>CP3451</t>
  </si>
  <si>
    <t>Compra de mercadorias - pedido 51745</t>
  </si>
  <si>
    <t>1-110781/1</t>
  </si>
  <si>
    <t>1-111437/1</t>
  </si>
  <si>
    <t>Recebimento do cliente C00365</t>
  </si>
  <si>
    <t>2-107251/1</t>
  </si>
  <si>
    <t>3-104640/1</t>
  </si>
  <si>
    <t>1-111442/1</t>
  </si>
  <si>
    <t>3-104641/1</t>
  </si>
  <si>
    <t>2-107172/1</t>
  </si>
  <si>
    <t>1-111446/1</t>
  </si>
  <si>
    <t>2-107173/1</t>
  </si>
  <si>
    <t>1-111455/1</t>
  </si>
  <si>
    <t>3-104644/1</t>
  </si>
  <si>
    <t>3-104645/1</t>
  </si>
  <si>
    <t>1-111461/1</t>
  </si>
  <si>
    <t>1-111468/1</t>
  </si>
  <si>
    <t>1-110464/2</t>
  </si>
  <si>
    <t>2-107104/1</t>
  </si>
  <si>
    <t>1-110835/1</t>
  </si>
  <si>
    <t>3-104488/1</t>
  </si>
  <si>
    <t>1-111025/1</t>
  </si>
  <si>
    <t>1-110463/2</t>
  </si>
  <si>
    <t>1-111018/1</t>
  </si>
  <si>
    <t>1-111255/1</t>
  </si>
  <si>
    <t>3-104484/1</t>
  </si>
  <si>
    <t>1-111012/1</t>
  </si>
  <si>
    <t>3-104482/1</t>
  </si>
  <si>
    <t>3-104479/1</t>
  </si>
  <si>
    <t>Recebimento do cliente C00247</t>
  </si>
  <si>
    <t>3-104478/1</t>
  </si>
  <si>
    <t>1-111005/1</t>
  </si>
  <si>
    <t>3-104477/1</t>
  </si>
  <si>
    <t>1-111003/1</t>
  </si>
  <si>
    <t>1-111001/1</t>
  </si>
  <si>
    <t>1-110997/1</t>
  </si>
  <si>
    <t>1-111614/1</t>
  </si>
  <si>
    <t>1-110994/1</t>
  </si>
  <si>
    <t>1-111036/1</t>
  </si>
  <si>
    <t>1-110990/1</t>
  </si>
  <si>
    <t>2-107047/1</t>
  </si>
  <si>
    <t>2-106920/1</t>
  </si>
  <si>
    <t>1-111191/1</t>
  </si>
  <si>
    <t>2-107015/1</t>
  </si>
  <si>
    <t>1-111164/1</t>
  </si>
  <si>
    <t>2-106988/1</t>
  </si>
  <si>
    <t>2-106985/1</t>
  </si>
  <si>
    <t>Recebimento do cliente C00190</t>
  </si>
  <si>
    <t>1-111198/1</t>
  </si>
  <si>
    <t>1-111139/1</t>
  </si>
  <si>
    <t>1-111131/1</t>
  </si>
  <si>
    <t>1-111128/1</t>
  </si>
  <si>
    <t>2-107027/1</t>
  </si>
  <si>
    <t>2-107029/1</t>
  </si>
  <si>
    <t>1-111216/1</t>
  </si>
  <si>
    <t>1-111082/1</t>
  </si>
  <si>
    <t>3-104496/1</t>
  </si>
  <si>
    <t>1-111055/1</t>
  </si>
  <si>
    <t>2-106926/1</t>
  </si>
  <si>
    <t>3-104492/1</t>
  </si>
  <si>
    <t>2-107238/1</t>
  </si>
  <si>
    <t>1-110984/1</t>
  </si>
  <si>
    <t>Recebimento do cliente C00235</t>
  </si>
  <si>
    <t>1-111021/1</t>
  </si>
  <si>
    <t>1-111570/1</t>
  </si>
  <si>
    <t>1-111320/1</t>
  </si>
  <si>
    <t>Recebimento do cliente C00418</t>
  </si>
  <si>
    <t>2-106885/1</t>
  </si>
  <si>
    <t>2-106836/1</t>
  </si>
  <si>
    <t>2-106827/1</t>
  </si>
  <si>
    <t>1-111318/1</t>
  </si>
  <si>
    <t>3-104582/1</t>
  </si>
  <si>
    <t>2-106394/2</t>
  </si>
  <si>
    <t>2-106819/1</t>
  </si>
  <si>
    <t>3-104427/1</t>
  </si>
  <si>
    <t>3-104232/2</t>
  </si>
  <si>
    <t>1-110134/2</t>
  </si>
  <si>
    <t>1-111296/1</t>
  </si>
  <si>
    <t>Recebimento do cliente C00382</t>
  </si>
  <si>
    <t>2-107105/1</t>
  </si>
  <si>
    <t>Recebimento do cliente C00076</t>
  </si>
  <si>
    <t>1-111294/1</t>
  </si>
  <si>
    <t>3-104064/2</t>
  </si>
  <si>
    <t>2-107084/1</t>
  </si>
  <si>
    <t>1-109957/2</t>
  </si>
  <si>
    <t>1-110939/1</t>
  </si>
  <si>
    <t>1-111613/1</t>
  </si>
  <si>
    <t>1-111293/1</t>
  </si>
  <si>
    <t>2-106852/1</t>
  </si>
  <si>
    <t>1-110922/1</t>
  </si>
  <si>
    <t>1-110430/2</t>
  </si>
  <si>
    <t>1-110978/1</t>
  </si>
  <si>
    <t>1-111342/1</t>
  </si>
  <si>
    <t>1-111218/1</t>
  </si>
  <si>
    <t>1-111094/1</t>
  </si>
  <si>
    <t>2-107279/1</t>
  </si>
  <si>
    <t>2-107010/1</t>
  </si>
  <si>
    <t>3-104721/1</t>
  </si>
  <si>
    <t>1-111172/1</t>
  </si>
  <si>
    <t>1-111335/1</t>
  </si>
  <si>
    <t>1-111645/1</t>
  </si>
  <si>
    <t>1-111085/1</t>
  </si>
  <si>
    <t>1-111636/1</t>
  </si>
  <si>
    <t>2-107277/1</t>
  </si>
  <si>
    <t>1-111497/1</t>
  </si>
  <si>
    <t>3-104664/1</t>
  </si>
  <si>
    <t>1-111628/1</t>
  </si>
  <si>
    <t>2-107198/1</t>
  </si>
  <si>
    <t>1-110272/2</t>
  </si>
  <si>
    <t>1-111511/1</t>
  </si>
  <si>
    <t>1-111516/1</t>
  </si>
  <si>
    <t>2-107118/1</t>
  </si>
  <si>
    <t>3-104270/2</t>
  </si>
  <si>
    <t>2-107108/1</t>
  </si>
  <si>
    <t>3-104682/1</t>
  </si>
  <si>
    <t>3-104547/1</t>
  </si>
  <si>
    <t>2-107207/1</t>
  </si>
  <si>
    <t>1-111627/1</t>
  </si>
  <si>
    <t>1-111161/1</t>
  </si>
  <si>
    <t>3-104720/1</t>
  </si>
  <si>
    <t>1-111648/1</t>
  </si>
  <si>
    <t>1-111059/1</t>
  </si>
  <si>
    <t>1-111076/1</t>
  </si>
  <si>
    <t>2-106865/1</t>
  </si>
  <si>
    <t>2-106627/2</t>
  </si>
  <si>
    <t>1-110534/2</t>
  </si>
  <si>
    <t>2-106638/2</t>
  </si>
  <si>
    <t>1-111004/1</t>
  </si>
  <si>
    <t>CP3377</t>
  </si>
  <si>
    <t>Compra de mercadorias - pedido 51728</t>
  </si>
  <si>
    <t>1-110055/1</t>
  </si>
  <si>
    <t>2-106907/1</t>
  </si>
  <si>
    <t>1-111019/1</t>
  </si>
  <si>
    <t>2-107057/1</t>
  </si>
  <si>
    <t>1-111362/1</t>
  </si>
  <si>
    <t>Recebimento do cliente C00234</t>
  </si>
  <si>
    <t>1-111024/1</t>
  </si>
  <si>
    <t>2-106911/1</t>
  </si>
  <si>
    <t>1-111031/1</t>
  </si>
  <si>
    <t>3-104715/1</t>
  </si>
  <si>
    <t>2-107051/1</t>
  </si>
  <si>
    <t>3-104603/1</t>
  </si>
  <si>
    <t>1-111038/1</t>
  </si>
  <si>
    <t>2-107281/1</t>
  </si>
  <si>
    <t>1-111042/1</t>
  </si>
  <si>
    <t>2-106919/1</t>
  </si>
  <si>
    <t>3-104561/1</t>
  </si>
  <si>
    <t>Recebimento do cliente C00179</t>
  </si>
  <si>
    <t>1-111048/1</t>
  </si>
  <si>
    <t>1-111054/1</t>
  </si>
  <si>
    <t>2-106915/1</t>
  </si>
  <si>
    <t>1-111068/1</t>
  </si>
  <si>
    <t>3-104723/1</t>
  </si>
  <si>
    <t>1-111066/1</t>
  </si>
  <si>
    <t>2-106650/2</t>
  </si>
  <si>
    <t>2-107288/1</t>
  </si>
  <si>
    <t>1-111667/1</t>
  </si>
  <si>
    <t>2-107297/1</t>
  </si>
  <si>
    <t>3-104727/1</t>
  </si>
  <si>
    <t>1-111675/1</t>
  </si>
  <si>
    <t>2-107296/1</t>
  </si>
  <si>
    <t>2-107292/1</t>
  </si>
  <si>
    <t>3-104732/1</t>
  </si>
  <si>
    <t>1-111052/1</t>
  </si>
  <si>
    <t>2-107224/1</t>
  </si>
  <si>
    <t>2-106951/1</t>
  </si>
  <si>
    <t>3-104510/1</t>
  </si>
  <si>
    <t>3-104509/1</t>
  </si>
  <si>
    <t>3-104500/1</t>
  </si>
  <si>
    <t>1-111075/1</t>
  </si>
  <si>
    <t>3-104495/1</t>
  </si>
  <si>
    <t>1-111063/1</t>
  </si>
  <si>
    <t>2-106892/1</t>
  </si>
  <si>
    <t>1-110139/2</t>
  </si>
  <si>
    <t>CP3488</t>
  </si>
  <si>
    <t>Compra de mercadorias - pedido 51776</t>
  </si>
  <si>
    <t>1-110502/2</t>
  </si>
  <si>
    <t>1-110506/2</t>
  </si>
  <si>
    <t>3-104294/2</t>
  </si>
  <si>
    <t>3-104308/2</t>
  </si>
  <si>
    <t>1-110571/2</t>
  </si>
  <si>
    <t>2-106625/2</t>
  </si>
  <si>
    <t>2-106636/2</t>
  </si>
  <si>
    <t>2-106653/2</t>
  </si>
  <si>
    <t>1-110620/2</t>
  </si>
  <si>
    <t>3-104512/1</t>
  </si>
  <si>
    <t>1-111553/1</t>
  </si>
  <si>
    <t>2-106959/1</t>
  </si>
  <si>
    <t>2-106961/1</t>
  </si>
  <si>
    <t>1-111550/1</t>
  </si>
  <si>
    <t>1-111546/1</t>
  </si>
  <si>
    <t>2-107209/1</t>
  </si>
  <si>
    <t>2-107208/1</t>
  </si>
  <si>
    <t>1-111521/1</t>
  </si>
  <si>
    <t>3-104675/1</t>
  </si>
  <si>
    <t>2-107202/1</t>
  </si>
  <si>
    <t>1-111439/1</t>
  </si>
  <si>
    <t>1-111390/1</t>
  </si>
  <si>
    <t>3-104621/1</t>
  </si>
  <si>
    <t>1-111369/1</t>
  </si>
  <si>
    <t>Recebimento do cliente C00350</t>
  </si>
  <si>
    <t>1-111366/1</t>
  </si>
  <si>
    <t>1-111360/1</t>
  </si>
  <si>
    <t>2-107124/1</t>
  </si>
  <si>
    <t>Recebimento do cliente C00041</t>
  </si>
  <si>
    <t>1-111350/1</t>
  </si>
  <si>
    <t>1-111285/1</t>
  </si>
  <si>
    <t>1-111273/1</t>
  </si>
  <si>
    <t>1-111220/1</t>
  </si>
  <si>
    <t>1-111170/1</t>
  </si>
  <si>
    <t>1-111113/1</t>
  </si>
  <si>
    <t>CP3568</t>
  </si>
  <si>
    <t>Tarifas bancárias e cobrança - 12/2025</t>
  </si>
  <si>
    <t>Resumo da conciliação</t>
  </si>
  <si>
    <t>Pendências (tudo que não está Conciliado) são o que o financeiro precisa investigar.</t>
  </si>
  <si>
    <t>Total Geral</t>
  </si>
  <si>
    <t xml:space="preserve">Lançamentos </t>
  </si>
  <si>
    <t>Total no extrato</t>
  </si>
  <si>
    <t>Total no sistema</t>
  </si>
  <si>
    <t>Diferença total</t>
  </si>
  <si>
    <t>(vazio)</t>
  </si>
  <si>
    <t xml:space="preserve">Diferença </t>
  </si>
  <si>
    <t>Pendências para investigar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</si>
</sst>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8"/>
      <color rgb="FF1F4E79"/>
      <name val="Segoe UI"/>
      <family val="2"/>
    </font>
    <font>
      <b/>
      <sz val="12"/>
      <color rgb="FF1F4E79"/>
      <name val="Segoe UI"/>
      <family val="2"/>
    </font>
    <font>
      <b/>
      <sz val="11"/>
      <color rgb="FF1F4E79"/>
      <name val="Segoe UI"/>
      <family val="2"/>
    </font>
    <font>
      <b/>
      <sz val="14"/>
      <color theme="1"/>
      <name val="Segoe UI"/>
      <family val="2"/>
    </font>
    <font>
      <i/>
      <sz val="10"/>
      <color theme="1"/>
      <name val="Segoe UI"/>
      <family val="2"/>
    </font>
    <font>
      <sz val="8"/>
      <name val="Aptos Narrow"/>
      <family val="2"/>
      <scheme val="minor"/>
    </font>
    <font>
      <b/>
      <sz val="11"/>
      <color rgb="FF1F4E7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0" fontId="6" fillId="0" borderId="0" xfId="0" applyFont="1"/>
    <xf numFmtId="0" fontId="0" fillId="0" borderId="0" xfId="0" applyNumberFormat="1"/>
    <xf numFmtId="14" fontId="0" fillId="0" borderId="0" xfId="0" applyNumberFormat="1"/>
    <xf numFmtId="39" fontId="0" fillId="0" borderId="0" xfId="0" applyNumberFormat="1"/>
    <xf numFmtId="0" fontId="0" fillId="0" borderId="0" xfId="0" pivotButton="1"/>
    <xf numFmtId="3" fontId="0" fillId="0" borderId="0" xfId="0" applyNumberFormat="1"/>
    <xf numFmtId="0" fontId="8" fillId="0" borderId="0" xfId="0" applyFont="1"/>
  </cellXfs>
  <cellStyles count="1">
    <cellStyle name="Normal" xfId="0" builtinId="0"/>
  </cellStyles>
  <dxfs count="10">
    <dxf>
      <numFmt numFmtId="7" formatCode="#,##0.00;\-#,##0.00"/>
    </dxf>
    <dxf>
      <numFmt numFmtId="7" formatCode="#,##0.00;\-#,##0.00"/>
    </dxf>
    <dxf>
      <numFmt numFmtId="7" formatCode="#,##0.00;\-#,##0.00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Gama" refreshedDate="46324.129936111109" createdVersion="6" refreshedVersion="8" minRefreshableVersion="3" recordCount="1601" xr:uid="{4C7B27D8-9CD2-485D-8BF6-C643542D3C13}">
  <cacheSource type="worksheet">
    <worksheetSource name="tbConciliacao"/>
  </cacheSource>
  <cacheFields count="11">
    <cacheField name="Status" numFmtId="0">
      <sharedItems count="4">
        <s v="Valor divergente"/>
        <s v="Só no sistema"/>
        <s v="Só no extrato"/>
        <s v="Conciliado"/>
      </sharedItems>
    </cacheField>
    <cacheField name="Regra" numFmtId="0">
      <sharedItems count="3">
        <s v="Documento"/>
        <s v="Pendente"/>
        <s v="Data e valor"/>
      </sharedItems>
    </cacheField>
    <cacheField name="Data no Extrato" numFmtId="14">
      <sharedItems containsNonDate="0" containsDate="1" containsString="0" containsBlank="1" minDate="2025-12-01T00:00:00" maxDate="2026-01-01T00:00:00" count="24">
        <d v="2025-12-08T00:00:00"/>
        <d v="2025-12-19T00:00:00"/>
        <d v="2025-12-30T00:00:00"/>
        <m/>
        <d v="2025-12-05T00:00:00"/>
        <d v="2025-12-12T00:00:00"/>
        <d v="2025-12-31T00:00:00"/>
        <d v="2025-12-01T00:00:00"/>
        <d v="2025-12-02T00:00:00"/>
        <d v="2025-12-03T00:00:00"/>
        <d v="2025-12-04T00:00:00"/>
        <d v="2025-12-09T00:00:00"/>
        <d v="2025-12-10T00:00:00"/>
        <d v="2025-12-11T00:00:00"/>
        <d v="2025-12-15T00:00:00"/>
        <d v="2025-12-16T00:00:00"/>
        <d v="2025-12-17T00:00:00"/>
        <d v="2025-12-18T00:00:00"/>
        <d v="2025-12-22T00:00:00"/>
        <d v="2025-12-23T00:00:00"/>
        <d v="2025-12-24T00:00:00"/>
        <d v="2025-12-25T00:00:00"/>
        <d v="2025-12-26T00:00:00"/>
        <d v="2025-12-29T00:00:00"/>
      </sharedItems>
    </cacheField>
    <cacheField name="Data no Sistema" numFmtId="14">
      <sharedItems containsNonDate="0" containsDate="1" containsString="0" containsBlank="1" minDate="2025-12-01T00:00:00" maxDate="2026-01-01T00:00:00" count="24">
        <d v="2025-12-08T00:00:00"/>
        <d v="2025-12-19T00:00:00"/>
        <d v="2025-12-30T00:00:00"/>
        <d v="2025-12-29T00:00:00"/>
        <m/>
        <d v="2025-12-01T00:00:00"/>
        <d v="2025-12-02T00:00:00"/>
        <d v="2025-12-03T00:00:00"/>
        <d v="2025-12-04T00:00:00"/>
        <d v="2025-12-05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22T00:00:00"/>
        <d v="2025-12-23T00:00:00"/>
        <d v="2025-12-24T00:00:00"/>
        <d v="2025-12-25T00:00:00"/>
        <d v="2025-12-26T00:00:00"/>
        <d v="2025-12-31T00:00:00"/>
      </sharedItems>
    </cacheField>
    <cacheField name="Documento" numFmtId="0">
      <sharedItems containsBlank="1" count="1598">
        <s v="1-110517/1"/>
        <s v="1-110423/1"/>
        <s v="1-111364/1"/>
        <s v="CP3469"/>
        <s v="CP3476"/>
        <s v="CP3483"/>
        <s v="CP3484"/>
        <m/>
        <s v="1-110519/1"/>
        <s v="1-110985/1"/>
        <s v="1-110863/1"/>
        <s v="3-104447/1"/>
        <s v="1-110868/1"/>
        <s v="3-104294/1"/>
        <s v="2-106587/1"/>
        <s v="1-110903/1"/>
        <s v="3-104470/1"/>
        <s v="3-104435/1"/>
        <s v="2-106673/1"/>
        <s v="2-106804/1"/>
        <s v="3-104426/1"/>
        <s v="1-110752/1"/>
        <s v="2-106897/1"/>
        <s v="1-110996/1"/>
        <s v="1-110885/1"/>
        <s v="1-110767/1"/>
        <s v="1-110680/1"/>
        <s v="3-104412/1"/>
        <s v="1-110758/1"/>
        <s v="1-110818/1"/>
        <s v="1-110874/1"/>
        <s v="1-110783/1"/>
        <s v="3-104253/1"/>
        <s v="1-110816/1"/>
        <s v="2-106895/1"/>
        <s v="3-104382/1"/>
        <s v="3-104380/1"/>
        <s v="1-110881/1"/>
        <s v="1-110760/1"/>
        <s v="2-106590/1"/>
        <s v="2-106902/1"/>
        <s v="3-104329/1"/>
        <s v="2-106435/1"/>
        <s v="3-104378/1"/>
        <s v="1-110845/1"/>
        <s v="2-106816/1"/>
        <s v="1-110646/1"/>
        <s v="1-110897/1"/>
        <s v="1-110499/1"/>
        <s v="1-110911/1"/>
        <s v="2-106765/1"/>
        <s v="1-110531/1"/>
        <s v="CP3388"/>
        <s v="CP3386"/>
        <s v="CP3392"/>
        <s v="CP3384"/>
        <s v="CP3389"/>
        <s v="CP3393"/>
        <s v="CP3310"/>
        <s v="CP3382"/>
        <s v="CP3390"/>
        <s v="CP3417"/>
        <s v="CP3307"/>
        <s v="CP3225"/>
        <s v="CP3332"/>
        <s v="CP3195"/>
        <s v="CP3383"/>
        <s v="CP3299"/>
        <s v="CP3306"/>
        <s v="CP3387"/>
        <s v="CP3385"/>
        <s v="CP3381"/>
        <s v="CP3394"/>
        <s v="1-110791/1"/>
        <s v="1-110906/1"/>
        <s v="3-104391/1"/>
        <s v="1-110995/1"/>
        <s v="1-110999/1"/>
        <s v="3-104480/1"/>
        <s v="2-106900/1"/>
        <s v="3-104421/1"/>
        <s v="2-106901/1"/>
        <s v="1-110757/1"/>
        <s v="1-110986/1"/>
        <s v="2-106759/1"/>
        <s v="3-104416/1"/>
        <s v="1-111011/1"/>
        <s v="2-106896/1"/>
        <s v="1-110931/1"/>
        <s v="2-106801/1"/>
        <s v="CP3391"/>
        <s v="2-106905/1"/>
        <s v="3-104396/1"/>
        <s v="2-106802/1"/>
        <s v="1-110529/1"/>
        <s v="1-110019/2"/>
        <s v="3-104063/2"/>
        <s v="1-110070/2"/>
        <s v="1-110034/2"/>
        <s v="1-110528/1"/>
        <s v="2-106314/2"/>
        <s v="3-104373/1"/>
        <s v="3-104075/1"/>
        <s v="2-106308/2"/>
        <s v="1-110434/1"/>
        <s v="2-106311/2"/>
        <s v="3-104288/1"/>
        <s v="1-110285/1"/>
        <s v="3-104483/1"/>
        <s v="3-104281/1"/>
        <s v="1-110537/1"/>
        <s v="2-106814/1"/>
        <s v="2-106605/1"/>
        <s v="1-110017/2"/>
        <s v="2-106743/1"/>
        <s v="1-110016/2"/>
        <s v="1-110454/1"/>
        <s v="2-106031/2"/>
        <s v="1-110418/1"/>
        <s v="1-110521/1"/>
        <s v="2-106601/1"/>
        <s v="1-109797/2"/>
        <s v="2-106593/1"/>
        <s v="1-110552/1"/>
        <s v="1-110775/1"/>
        <s v="2-106528/1"/>
        <s v="1-110567/1"/>
        <s v="1-109999/2"/>
        <s v="1-110525/1"/>
        <s v="3-104054/2"/>
        <s v="1-110378/1"/>
        <s v="1-110013/2"/>
        <s v="1-110565/1"/>
        <s v="3-104269/1"/>
        <s v="1-110015/2"/>
        <s v="1-110123/1"/>
        <s v="1-110562/1"/>
        <s v="1-110882/1"/>
        <s v="2-106704/1"/>
        <s v="1-110657/1"/>
        <s v="2-106893/1"/>
        <s v="2-106357/1"/>
        <s v="1-110509/1"/>
        <s v="2-106903/1"/>
        <s v="2-106600/1"/>
        <s v="1-110575/1"/>
        <s v="2-106597/1"/>
        <s v="2-106482/1"/>
        <s v="3-104309/1"/>
        <s v="1-110541/1"/>
        <s v="1-110593/1"/>
        <s v="2-106753/1"/>
        <s v="1-110901/1"/>
        <s v="CP3316"/>
        <s v="CP3346"/>
        <s v="CP3315"/>
        <s v="2-106845/1"/>
        <s v="3-104437/1"/>
        <s v="CP3344"/>
        <s v="2-106909/1"/>
        <s v="2-106925/1"/>
        <s v="2-106839/1"/>
        <s v="3-104393/1"/>
        <s v="1-111016/1"/>
        <s v="1-111044/1"/>
        <s v="CP3241"/>
        <s v="1-110800/1"/>
        <s v="3-104429/1"/>
        <s v="CP3243"/>
        <s v="3-104490/1"/>
        <s v="2-106842/1"/>
        <s v="CP3318"/>
        <s v="2-106799/1"/>
        <s v="1-110536/1"/>
        <s v="2-106702/1"/>
        <s v="3-104485/1"/>
        <s v="1-110546/1"/>
        <s v="2-106752/1"/>
        <s v="2-106616/1"/>
        <s v="1-110534/1"/>
        <s v="3-104487/1"/>
        <s v="2-106628/1"/>
        <s v="3-104298/1"/>
        <s v="1-110950/1"/>
        <s v="2-106847/1"/>
        <s v="1-111045/1"/>
        <s v="2-106571/1"/>
        <s v="1-110804/1"/>
        <s v="1-110941/1"/>
        <s v="1-110729/1"/>
        <s v="2-106918/1"/>
        <s v="3-104390/1"/>
        <s v="1-110825/1"/>
        <s v="2-106638/1"/>
        <s v="2-106921/1"/>
        <s v="1-109984/2"/>
        <s v="1-110908/1"/>
        <s v="2-106259/2"/>
        <s v="2-106908/1"/>
        <s v="1-110742/1"/>
        <s v="2-106316/2"/>
        <s v="3-104068/2"/>
        <s v="1-110105/2"/>
        <s v="1-110053/2"/>
        <s v="3-104075/2"/>
        <s v="2-106324/2"/>
        <s v="1-110617/1"/>
        <s v="1-111070/1"/>
        <s v="2-106862/1"/>
        <s v="2-106320/2"/>
        <s v="3-104460/1"/>
        <s v="3-104310/1"/>
        <s v="2-106868/1"/>
        <s v="1-111051/1"/>
        <s v="1-110843/1"/>
        <s v="1-111062/1"/>
        <s v="3-104400/1"/>
        <s v="2-106930/1"/>
        <s v="3-104279/1"/>
        <s v="1-110090/2"/>
        <s v="2-106536/1"/>
        <s v="1-110746/1"/>
        <s v="1-110808/1"/>
        <s v="1-110095/2"/>
        <s v="1-110926/1"/>
        <s v="2-106772/1"/>
        <s v="1-111049/1"/>
        <s v="1-110564/1"/>
        <s v="3-104322/1"/>
        <s v="2-106642/1"/>
        <s v="1-110577/1"/>
        <s v="1-110590/1"/>
        <s v="2-106613/1"/>
        <s v="3-104301/1"/>
        <s v="2-106851/1"/>
        <s v="1-111067/1"/>
        <s v="CP3320"/>
        <s v="2-106625/1"/>
        <s v="2-106652/1"/>
        <s v="2-106882/1"/>
        <s v="1-110556/1"/>
        <s v="CP3321"/>
        <s v="1-110125/2"/>
        <s v="2-106072/2"/>
        <s v="1-110588/1"/>
        <s v="2-106938/1"/>
        <s v="3-104312/1"/>
        <s v="2-106627/1"/>
        <s v="2-106636/1"/>
        <s v="1-110607/1"/>
        <s v="2-106644/1"/>
        <s v="3-104414/1"/>
        <s v="1-110578/1"/>
        <s v="2-106785/1"/>
        <s v="3-104455/1"/>
        <s v="1-111080/1"/>
        <s v="3-104353/1"/>
        <s v="1-111090/1"/>
        <s v="2-106649/1"/>
        <s v="1-110958/1"/>
        <s v="1-110947/1"/>
        <s v="1-110643/1"/>
        <s v="2-106952/1"/>
        <s v="1-110727/1"/>
        <s v="1-111087/1"/>
        <s v="3-104456/1"/>
        <s v="2-106946/1"/>
        <s v="2-106707/1"/>
        <s v="1-110526/1"/>
        <s v="3-104402/1"/>
        <s v="1-111084/1"/>
        <s v="1-111091/1"/>
        <s v="1-110571/1"/>
        <s v="2-106944/1"/>
        <s v="1-110620/1"/>
        <s v="1-110976/1"/>
        <s v="1-111102/1"/>
        <s v="2-106635/1"/>
        <s v="2-106559/1"/>
        <s v="1-111095/1"/>
        <s v="1-111103/1"/>
        <s v="1-110120/2"/>
        <s v="1-109768/2"/>
        <s v="CP3329"/>
        <s v="CP3250"/>
        <s v="CP3251"/>
        <s v="3-104501/1"/>
        <s v="3-104519/1"/>
        <s v="1-110853/1"/>
        <s v="1-110127/2"/>
        <s v="2-106963/1"/>
        <s v="CP3350"/>
        <s v="3-104356/1"/>
        <s v="1-110873/1"/>
        <s v="CP3446"/>
        <s v="3-104521/1"/>
        <s v="3-104515/1"/>
        <s v="1-110855/1"/>
        <s v="1-110961/1"/>
        <s v="CP3440"/>
        <s v="1-110615/1"/>
        <s v="2-106812/1"/>
        <s v="CP3445"/>
        <s v="CP3441"/>
        <s v="2-106791/1"/>
        <s v="CP3447"/>
        <s v="CP3456"/>
        <s v="CP3444"/>
        <s v="1-110123/2"/>
        <s v="2-106877/1"/>
        <s v="CP3438"/>
        <s v="3-104464/1"/>
        <s v="2-106647/1"/>
        <s v="3-104524/1"/>
        <s v="1-110606/1"/>
        <s v="1-110857/1"/>
        <s v="CP3455"/>
        <s v="1-111112/1"/>
        <s v="2-106964/1"/>
        <s v="CP3442"/>
        <s v="2-106741/1"/>
        <s v="1-110969/1"/>
        <s v="1-110852/1"/>
        <s v="CP3324"/>
        <s v="CP3454"/>
        <s v="2-106966/1"/>
        <s v="3-104365/1"/>
        <s v="CP3434"/>
        <s v="2-106653/1"/>
        <s v="1-110848/1"/>
        <s v="CP3436"/>
        <s v="CP3443"/>
        <s v="CP3435"/>
        <s v="CP3437"/>
        <s v="1-110623/1"/>
        <s v="1-110858/1"/>
        <s v="1-111125/1"/>
        <s v="1-110616/1"/>
        <s v="1-110749/1"/>
        <s v="CP3439"/>
        <s v="3-104461/1"/>
        <s v="1-110635/1"/>
        <s v="1-111136/1"/>
        <s v="2-106972/1"/>
        <s v="1-110992/1"/>
        <s v="3-104331/1"/>
        <s v="1-110702/1"/>
        <s v="3-104417/1"/>
        <s v="2-106994/1"/>
        <s v="3-104397/1"/>
        <s v="3-104536/1"/>
        <s v="2-106818/1"/>
        <s v="1-110793/1"/>
        <s v="1-110754/1"/>
        <s v="2-106694/1"/>
        <s v="3-104474/1"/>
        <s v="1-111006/1"/>
        <s v="2-106843/1"/>
        <s v="1-110875/1"/>
        <s v="2-106898/1"/>
        <s v="1-110638/1"/>
        <s v="1-110987/1"/>
        <s v="1-110993/1"/>
        <s v="1-110774/1"/>
        <s v="1-110700/1"/>
        <s v="1-111013/1"/>
        <s v="2-106660/1"/>
        <s v="1-111142/1"/>
        <s v="2-106669/1"/>
        <s v="1-111014/1"/>
        <s v="1-110981/1"/>
        <s v="1-110664/1"/>
        <s v="3-104540/1"/>
        <s v="1-110654/1"/>
        <s v="3-104529/1"/>
        <s v="2-106980/1"/>
        <s v="1-110652/1"/>
        <s v="1-110770/1"/>
        <s v="3-104338/1"/>
        <s v="2-106770/1"/>
        <s v="1-111151/1"/>
        <s v="1-110627/1"/>
        <s v="1-110649/1"/>
        <s v="3-104324/1"/>
        <s v="1-110988/1"/>
        <s v="2-106808/1"/>
        <s v="1-110998/1"/>
        <s v="1-110678/1"/>
        <s v="1-110768/1"/>
        <s v="2-106675/1"/>
        <s v="2-106820/1"/>
        <s v="3-104472/1"/>
        <s v="1-110613/1"/>
        <s v="1-110887/1"/>
        <s v="3-104481/1"/>
        <s v="1-110753/1"/>
        <s v="3-104454/1"/>
        <s v="1-111163/1"/>
        <s v="2-106643/1"/>
        <s v="1-110982/1"/>
        <s v="1-110776/1"/>
        <s v="1-110671/1"/>
        <s v="CP3308"/>
        <s v="2-106828/1"/>
        <s v="2-106887/1"/>
        <s v="2-106798/1"/>
        <s v="1-111022/1"/>
        <s v="1-111140/1"/>
        <s v="1-111056/1"/>
        <s v="2-106976/1"/>
        <s v="CP3341"/>
        <s v="2-106832/1"/>
        <s v="CP3335"/>
        <s v="CP3361"/>
        <s v="CP3333"/>
        <s v="CP3339"/>
        <s v="1-110511/1"/>
        <s v="CP3309"/>
        <s v="CP3300"/>
        <s v="CP3336"/>
        <s v="CP3334"/>
        <s v="3-104109/2"/>
        <s v="3-104120/2"/>
        <s v="2-106367/2"/>
        <s v="1-110148/2"/>
        <s v="2-106371/1"/>
        <s v="1-110163/2"/>
        <s v="3-104130/2"/>
        <s v="1-110259/1"/>
        <s v="1-111015/1"/>
        <s v="CP3340"/>
        <s v="1-110515/1"/>
        <s v="CP3331"/>
        <s v="1-111138/1"/>
        <s v="1-110829/1"/>
        <s v="1-110924/1"/>
        <s v="2-106623/1"/>
        <s v="2-106870/1"/>
        <s v="2-106977/1"/>
        <s v="3-104473/1"/>
        <s v="3-104308/1"/>
        <s v="2-106984/1"/>
        <s v="3-104431/1"/>
        <s v="3-104032/2"/>
        <s v="1-110795/1"/>
        <s v="2-106991/1"/>
        <s v="1-110544/1"/>
        <s v="1-110794/1"/>
        <s v="1-111026/1"/>
        <s v="3-104528/1"/>
        <s v="1-110886/1"/>
        <s v="1-110944/1"/>
        <s v="1-111158/1"/>
        <s v="1-111008/1"/>
        <s v="3-104103/2"/>
        <s v="2-106970/1"/>
        <s v="3-104403/1"/>
        <s v="1-111132/1"/>
        <s v="1-111144/1"/>
        <s v="1-110193/2"/>
        <s v="2-106687/1"/>
        <s v="2-106922/1"/>
        <s v="CP3345"/>
        <s v="2-106941/1"/>
        <s v="CP3312"/>
        <s v="CP3314"/>
        <s v="1-111173/1"/>
        <s v="CP3317"/>
        <s v="1-110687/1"/>
        <s v="1-110691/1"/>
        <s v="2-106699/1"/>
        <s v="1-110204/2"/>
        <s v="2-106417/2"/>
        <s v="3-104157/2"/>
        <s v="3-104152/2"/>
        <s v="2-106402/2"/>
        <s v="2-106382/2"/>
        <s v="3-104357/1"/>
        <s v="1-110721/1"/>
        <s v="1-111193/1"/>
        <s v="2-106345/2"/>
        <s v="3-104092/2"/>
        <s v="2-106730/1"/>
        <s v="2-106422/2"/>
        <s v="2-106867/1"/>
        <s v="1-111181/1"/>
        <s v="2-107019/1"/>
        <s v="1-111182/1"/>
        <s v="3-104546/1"/>
        <s v="1-111167/1"/>
        <s v="2-106830/1"/>
        <s v="2-106822/1"/>
        <s v="3-104542/1"/>
        <s v="3-104445/1"/>
        <s v="1-111040/1"/>
        <s v="2-107013/1"/>
        <s v="1-110977/1"/>
        <s v="2-107016/1"/>
        <s v="2-106950/1"/>
        <s v="2-106916/1"/>
        <s v="1-110784/1"/>
        <s v="1-110834/1"/>
        <s v="2-106650/1"/>
        <s v="1-110802/1"/>
        <s v="1-110798/1"/>
        <s v="2-106607/1"/>
        <s v="1-110655/1"/>
        <s v="2-106912/1"/>
        <s v="3-104543/1"/>
        <s v="3-104544/1"/>
        <s v="1-111176/1"/>
        <s v="2-107012/1"/>
        <s v="1-110668/1"/>
        <s v="3-104550/1"/>
        <s v="1-111089/1"/>
        <s v="2-106913/1"/>
        <s v="2-107008/1"/>
        <s v="1-111174/1"/>
        <s v="2-106683/1"/>
        <s v="1-110899/1"/>
        <s v="CP3325"/>
        <s v="CP3409"/>
        <s v="2-106858/1"/>
        <s v="1-111097/1"/>
        <s v="1-111053/1"/>
        <s v="2-107034/1"/>
        <s v="CP3413"/>
        <s v="CP3405"/>
        <s v="CP3408"/>
        <s v="CP3347"/>
        <s v="CP3322"/>
        <s v="CP3407"/>
        <s v="CP3414"/>
        <s v="CP3406"/>
        <s v="3-104556/1"/>
        <s v="3-104498/1"/>
        <s v="3-104513/1"/>
        <s v="2-106841/1"/>
        <s v="1-111215/1"/>
        <s v="1-111207/1"/>
        <s v="2-107032/1"/>
        <s v="3-104448/1"/>
        <s v="1-111120/1"/>
        <s v="1-111057/1"/>
        <s v="3-104505/1"/>
        <s v="1-111221/1"/>
        <s v="3-104504/1"/>
        <s v="3-104553/1"/>
        <s v="3-104468/1"/>
        <s v="2-107026/1"/>
        <s v="1-110951/1"/>
        <s v="2-106800/1"/>
        <s v="1-111061/1"/>
        <s v="1-110975/1"/>
        <s v="1-111079/1"/>
        <s v="2-106850/1"/>
        <s v="3-104493/1"/>
        <s v="2-106935/1"/>
        <s v="2-107035/1"/>
        <s v="1-111219/1"/>
        <s v="2-106728/1"/>
        <s v="1-111046/1"/>
        <s v="1-110688/1"/>
        <s v="3-104224/1"/>
        <s v="1-110683/1"/>
        <s v="2-106352/2"/>
        <s v="3-104335/1"/>
        <s v="2-106690/1"/>
        <s v="1-110631/1"/>
        <s v="2-106695/1"/>
        <s v="2-106696/1"/>
        <s v="1-110118/2"/>
        <s v="1-110625/1"/>
        <s v="1-110704/1"/>
        <s v="2-106701/1"/>
        <s v="1-110236/2"/>
        <s v="2-106713/1"/>
        <s v="1-110724/1"/>
        <s v="3-104367/1"/>
        <s v="1-110741/1"/>
        <s v="2-106721/1"/>
        <s v="2-106464/1"/>
        <s v="1-110938/1"/>
        <s v="3-104559/1"/>
        <s v="2-107046/1"/>
        <s v="2-106611/1"/>
        <s v="1-111039/1"/>
        <s v="1-111236/1"/>
        <s v="1-111111/1"/>
        <s v="1-111251/1"/>
        <s v="1-111227/1"/>
        <s v="2-106863/1"/>
        <s v="CP3326"/>
        <s v="3-104507/1"/>
        <s v="1-111124/1"/>
        <s v="1-111249/1"/>
        <s v="1-110953/1"/>
        <s v="2-106940/1"/>
        <s v="2-107054/1"/>
        <s v="1-111088/1"/>
        <s v="3-104506/1"/>
        <s v="3-104560/1"/>
        <s v="2-106859/1"/>
        <s v="3-104503/1"/>
        <s v="1-111250/1"/>
        <s v="CP3367"/>
        <s v="2-107041/1"/>
        <s v="3-104565/1"/>
        <s v="1-111126/1"/>
        <s v="1-110946/1"/>
        <s v="2-107043/1"/>
        <s v="1-111081/1"/>
        <s v="CP3337"/>
        <s v="1-111248/1"/>
        <s v="2-106415/2"/>
        <s v="2-106427/2"/>
        <s v="3-104469/1"/>
        <s v="1-110747/1"/>
        <s v="1-110733/1"/>
        <s v="3-104164/2"/>
        <s v="2-106715/1"/>
        <s v="2-106703/1"/>
        <s v="1-110734/1"/>
        <s v="1-110716/1"/>
        <s v="1-110738/1"/>
        <s v="2-106709/1"/>
        <s v="1-110970/1"/>
        <s v="1-111284/1"/>
        <s v="3-104572/1"/>
        <s v="1-111272/1"/>
        <s v="1-110838/1"/>
        <s v="1-111254/1"/>
        <s v="2-106924/1"/>
        <s v="1-111106/1"/>
        <s v="1-111259/1"/>
        <s v="3-104514/1"/>
        <s v="3-104568/1"/>
        <s v="1-111280/1"/>
        <s v="1-111121/1"/>
        <s v="3-104573/1"/>
        <s v="3-104575/1"/>
        <s v="1-111274/1"/>
        <s v="CP3404"/>
        <s v="CP3403"/>
        <s v="CP3402"/>
        <s v="1-111263/1"/>
        <s v="1-111000/1"/>
        <s v="3-104570/1"/>
        <s v="1-110973/1"/>
        <s v="3-104566/1"/>
        <s v="3-104523/1"/>
        <s v="2-106923/1"/>
        <s v="1-111115/1"/>
        <s v="1-111262/1"/>
        <s v="3-104362/1"/>
        <s v="3-104232/1"/>
        <s v="2-107073/1"/>
        <s v="3-104366/1"/>
        <s v="1-110639/1"/>
        <s v="2-106722/1"/>
        <s v="2-106435/2"/>
        <s v="3-104392/1"/>
        <s v="1-110180/1"/>
        <s v="1-110696/1"/>
        <s v="2-106718/1"/>
        <s v="2-106697/1"/>
        <s v="1-110224/2"/>
        <s v="1-110226/2"/>
        <s v="1-109975/2"/>
        <s v="2-106451/2"/>
        <s v="2-106457/2"/>
        <s v="1-110276/2"/>
        <s v="1-110293/2"/>
        <s v="1-110893/1"/>
        <s v="1-110890/1"/>
        <s v="2-106442/2"/>
        <s v="1-110927/1"/>
        <s v="2-106431/2"/>
        <s v="2-106824/1"/>
        <s v="1-110250/2"/>
        <s v="2-106429/2"/>
        <s v="2-106831/1"/>
        <s v="2-106834/1"/>
        <s v="1-110913/1"/>
        <s v="1-110915/1"/>
        <s v="1-110134/1"/>
        <s v="1-110919/1"/>
        <s v="1-110920/1"/>
        <s v="1-110253/2"/>
        <s v="1-110088/2"/>
        <s v="1-111108/1"/>
        <s v="1-110983/1"/>
        <s v="1-111060/1"/>
        <s v="1-111133/1"/>
        <s v="3-104530/1"/>
        <s v="1-111291/1"/>
        <s v="1-111127/1"/>
        <s v="1-111047/1"/>
        <s v="2-106969/1"/>
        <s v="3-104585/1"/>
        <s v="3-104548/1"/>
        <s v="1-111043/1"/>
        <s v="1-111033/1"/>
        <s v="3-104555/1"/>
        <s v="1-111145/1"/>
        <s v="2-106978/1"/>
        <s v="3-104537/1"/>
        <s v="2-106999/1"/>
        <s v="1-111200/1"/>
        <s v="2-106932/1"/>
        <s v="CP3412"/>
        <s v="CP3355"/>
        <s v="CP3360"/>
        <s v="CP3338"/>
        <s v="CP3416"/>
        <s v="CP3369"/>
        <s v="CP3363"/>
        <s v="CP3362"/>
        <s v="CP3373"/>
        <s v="CP3342"/>
        <s v="CP3375"/>
        <s v="CP3359"/>
        <s v="CP3319"/>
        <s v="CP3410"/>
        <s v="CP3349"/>
        <s v="CP3352"/>
        <s v="2-107095/1"/>
        <s v="2-107036/1"/>
        <s v="1-111201/1"/>
        <s v="1-111134/1"/>
        <s v="1-111032/1"/>
        <s v="3-104475/1"/>
        <s v="3-104539/1"/>
        <s v="2-107087/1"/>
        <s v="1-111306/1"/>
        <s v="1-111313/1"/>
        <s v="1-110991/1"/>
        <s v="1-111078/1"/>
        <s v="2-106889/1"/>
        <s v="1-111064/1"/>
        <s v="3-104428/1"/>
        <s v="2-106888/1"/>
        <s v="3-104471/1"/>
        <s v="2-106886/1"/>
        <s v="1-111171/1"/>
        <s v="3-104476/1"/>
        <s v="2-106975/1"/>
        <s v="1-111002/1"/>
        <s v="2-107092/1"/>
        <s v="1-111143/1"/>
        <s v="1-111175/1"/>
        <s v="1-111160/1"/>
        <s v="3-104486/1"/>
        <s v="2-107018/1"/>
        <s v="1-111034/1"/>
        <s v="1-111157/1"/>
        <s v="1-110980/1"/>
        <s v="3-104532/1"/>
        <s v="2-106910/1"/>
        <s v="1-111302/1"/>
        <s v="2-106928/1"/>
        <s v="2-106899/1"/>
        <s v="1-111023/1"/>
        <s v="3-104502/1"/>
        <s v="3-104531/1"/>
        <s v="2-107022/1"/>
        <s v="2-106813/1"/>
        <s v="CP3411"/>
        <s v="1-110785/1"/>
        <s v="1-110780/1"/>
        <s v="1-110879/1"/>
        <s v="1-110807/1"/>
        <s v="3-104315/1"/>
        <s v="3-104292/1"/>
        <s v="3-104422/1"/>
        <s v="3-104394/1"/>
        <s v="1-110715/1"/>
        <s v="3-104344/1"/>
        <s v="1-110865/1"/>
        <s v="3-104383/1"/>
        <s v="1-110801/1"/>
        <s v="3-104337/1"/>
        <s v="2-106756/1"/>
        <s v="1-110777/1"/>
        <s v="1-110682/1"/>
        <s v="2-106750/1"/>
        <s v="2-106803/1"/>
        <s v="1-110622/1"/>
        <s v="1-110871/1"/>
        <s v="2-106735/1"/>
        <s v="1-110324/2"/>
        <s v="1-110675/1"/>
        <s v="1-110751/1"/>
        <s v="1-110748/1"/>
        <s v="3-104376/1"/>
        <s v="2-106736/1"/>
        <s v="2-106739/1"/>
        <s v="1-110823/1"/>
        <s v="2-106754/1"/>
        <s v="1-110763/1"/>
        <s v="1-110864/1"/>
        <s v="1-110730/1"/>
        <s v="2-106758/1"/>
        <s v="1-110551/1"/>
        <s v="1-111183/1"/>
        <s v="1-111194/1"/>
        <s v="2-106933/1"/>
        <s v="1-111035/1"/>
        <s v="2-107111/1"/>
        <s v="3-104595/1"/>
        <s v="3-104551/1"/>
        <s v="3-104590/1"/>
        <s v="1-110558/1"/>
        <s v="1-110822/1"/>
        <s v="1-111347/1"/>
        <s v="2-106917/1"/>
        <s v="3-104375/1"/>
        <s v="2-106866/1"/>
        <s v="1-111098/1"/>
        <s v="2-106769/1"/>
        <s v="1-111058/1"/>
        <s v="1-110719/1"/>
        <s v="1-110809/1"/>
        <s v="2-106929/1"/>
        <s v="2-106780/1"/>
        <s v="1-111077/1"/>
        <s v="3-104404/1"/>
        <s v="3-104588/1"/>
        <s v="2-106706/1"/>
        <s v="2-106761/1"/>
        <s v="2-106760/1"/>
        <s v="3-104545/1"/>
        <s v="2-107107/1"/>
        <s v="3-104586/1"/>
        <s v="3-104591/1"/>
        <s v="1-111169/1"/>
        <s v="1-111118/1"/>
        <s v="CP3343"/>
        <s v="1-110348/2"/>
        <s v="2-107014/1"/>
        <s v="3-104436/1"/>
        <s v="2-107109/1"/>
        <s v="2-106460/2"/>
        <s v="3-104388/1"/>
        <s v="1-110296/2"/>
        <s v="1-110308/2"/>
        <s v="3-104593/1"/>
        <s v="1-110330/2"/>
        <s v="1-111029/1"/>
        <s v="2-106462/2"/>
        <s v="1-110902/1"/>
        <s v="1-110582/1"/>
        <s v="2-106755/1"/>
        <s v="1-111187/1"/>
        <s v="3-104587/1"/>
        <s v="1-111345/1"/>
        <s v="1-111327/1"/>
        <s v="2-106757/1"/>
        <s v="1-110788/1"/>
        <s v="1-111331/1"/>
        <s v="2-106914/1"/>
        <s v="3-104203/2"/>
        <s v="2-106465/2"/>
        <s v="1-110789/1"/>
        <s v="2-107000/1"/>
        <s v="CP3364"/>
        <s v="2-106947/1"/>
        <s v="1-111353/1"/>
        <s v="1-110764/1"/>
        <s v="2-106481/2"/>
        <s v="1-111096/1"/>
        <s v="2-106962/1"/>
        <s v="1-110820/1"/>
        <s v="3-104613/1"/>
        <s v="1-111267/1"/>
        <s v="3-104399/1"/>
        <s v="2-106731/1"/>
        <s v="1-110827/1"/>
        <s v="1-110810/1"/>
        <s v="2-106960/1"/>
        <s v="1-111370/1"/>
        <s v="1-111234/1"/>
        <s v="3-104600/1"/>
        <s v="2-106779/1"/>
        <s v="1-110745/1"/>
        <s v="2-106883/1"/>
        <s v="1-111231/1"/>
        <s v="2-107138/1"/>
        <s v="2-106857/1"/>
        <s v="2-106965/1"/>
        <s v="2-106937/1"/>
        <s v="CP3380"/>
        <s v="CP3378"/>
        <s v="2-107137/1"/>
        <s v="2-106503/2"/>
        <s v="1-111104/1"/>
        <s v="3-104499/1"/>
        <s v="1-111073/1"/>
        <s v="3-104225/2"/>
        <s v="1-111367/1"/>
        <s v="CP3415"/>
        <s v="1-110328/2"/>
        <s v="1-110956/1"/>
        <s v="1-110819/1"/>
        <s v="3-104384/1"/>
        <s v="1-111069/1"/>
        <s v="1-111208/1"/>
        <s v="1-111196/1"/>
        <s v="2-106942/1"/>
        <s v="1-110842/1"/>
        <s v="2-106763/1"/>
        <s v="2-106505/2"/>
        <s v="2-106853/1"/>
        <s v="2-107152/1"/>
        <s v="2-107149/1"/>
        <s v="2-107063/1"/>
        <s v="2-107142/1"/>
        <s v="3-104615/1"/>
        <s v="1-111383/1"/>
        <s v="2-107038/1"/>
        <s v="1-111009/1"/>
        <s v="1-111387/1"/>
        <s v="1-111229/1"/>
        <s v="1-111007/1"/>
        <s v="2-107147/1"/>
        <s v="2-107150/1"/>
        <s v="3-104563/1"/>
        <s v="1-111400/1"/>
        <s v="3-104622/1"/>
        <s v="1-111240/1"/>
        <s v="1-111386/1"/>
        <s v="1-111281/1"/>
        <s v="1-111223/1"/>
        <s v="1-111265/1"/>
        <s v="2-107056/1"/>
        <s v="3-104617/1"/>
        <s v="1-111401/1"/>
        <s v="2-107074/1"/>
        <s v="1-110945/1"/>
        <s v="1-110860/1"/>
        <s v="2-106796/1"/>
        <s v="1-110844/1"/>
        <s v="1-110342/2"/>
        <s v="1-110826/1"/>
        <s v="2-106784/1"/>
        <s v="2-106789/1"/>
        <s v="1-111116/1"/>
        <s v="1-110943/1"/>
        <s v="CP3348"/>
        <s v="2-107151/1"/>
        <s v="2-106945/1"/>
        <s v="1-111099/1"/>
        <s v="2-107045/1"/>
        <s v="2-106869/1"/>
        <s v="2-107065/1"/>
        <s v="1-111397/1"/>
        <s v="1-111393/1"/>
        <s v="2-107157/1"/>
        <s v="1-111269/1"/>
        <s v="1-111425/1"/>
        <s v="2-106795/1"/>
        <s v="1-111411/1"/>
        <s v="1-111252/1"/>
        <s v="1-111413/1"/>
        <s v="2-107159/1"/>
        <s v="2-107066/1"/>
        <s v="3-104224/2"/>
        <s v="1-111415/1"/>
        <s v="3-104631/1"/>
        <s v="3-104623/1"/>
        <s v="1-111276/1"/>
        <s v="1-111261/1"/>
        <s v="CP3368"/>
        <s v="1-110365/2"/>
        <s v="1-110363/2"/>
        <s v="1-110249/2"/>
        <s v="CP3397"/>
        <s v="3-104522/1"/>
        <s v="CP3351"/>
        <s v="1-111109/1"/>
        <s v="2-106939/1"/>
        <s v="1-110971/1"/>
        <s v="2-107170/1"/>
        <s v="3-104625/1"/>
        <s v="1-111428/1"/>
        <s v="2-106872/1"/>
        <s v="1-110846/1"/>
        <s v="2-107162/1"/>
        <s v="1-111438/1"/>
        <s v="3-104628/1"/>
        <s v="1-111277/1"/>
        <s v="1-110839/1"/>
        <s v="2-107168/1"/>
        <s v="1-111409/1"/>
        <s v="2-106742/1"/>
        <s v="3-104535/1"/>
        <s v="2-107185/1"/>
        <s v="1-111299/1"/>
        <s v="3-104592/1"/>
        <s v="1-111460/1"/>
        <s v="2-107086/1"/>
        <s v="1-111473/1"/>
        <s v="2-106751/1"/>
        <s v="3-104584/1"/>
        <s v="3-104578/1"/>
        <s v="2-107031/1"/>
        <s v="1-111334/1"/>
        <s v="3-104491/1"/>
        <s v="2-107099/1"/>
        <s v="3-104658/1"/>
        <s v="2-107122/1"/>
        <s v="3-104601/1"/>
        <s v="2-106931/1"/>
        <s v="1-111114/1"/>
        <s v="1-111041/1"/>
        <s v="2-107182/1"/>
        <s v="1-111316/1"/>
        <s v="1-110773/1"/>
        <s v="1-111450/1"/>
        <s v="1-111317/1"/>
        <s v="1-111344/1"/>
        <s v="2-107096/1"/>
        <s v="2-107110/1"/>
        <s v="1-111459/1"/>
        <s v="1-111440/1"/>
        <s v="3-104647/1"/>
        <s v="1-111065/1"/>
        <s v="3-104648/1"/>
        <s v="1-111290/1"/>
        <s v="CP3418"/>
        <s v="1-111162/1"/>
        <s v="CP3371"/>
        <s v="CP3353"/>
        <s v="3-104442/1"/>
        <s v="CP3450"/>
        <s v="2-106846/1"/>
        <s v="1-110393/2"/>
        <s v="1-110396/2"/>
        <s v="3-104607/1"/>
        <s v="1-110928/1"/>
        <s v="2-106849/1"/>
        <s v="2-106510/2"/>
        <s v="3-104233/2"/>
        <s v="2-106524/2"/>
        <s v="CP3422"/>
        <s v="1-110932/1"/>
        <s v="3-104538/1"/>
        <s v="1-110933/1"/>
        <s v="1-111156/1"/>
        <s v="CP3420"/>
        <s v="1-111155/1"/>
        <s v="2-106989/1"/>
        <s v="CP3449"/>
        <s v="1-110446/2"/>
        <s v="1-111484/1"/>
        <s v="1-110930/1"/>
        <s v="1-110380/2"/>
        <s v="1-110378/2"/>
        <s v="3-104418/1"/>
        <s v="1-111186/1"/>
        <s v="1-110883/1"/>
        <s v="1-110316/2"/>
        <s v="1-110891/1"/>
        <s v="1-110894/1"/>
        <s v="2-106815/1"/>
        <s v="2-107136/1"/>
        <s v="3-104432/1"/>
        <s v="1-110285/2"/>
        <s v="1-111178/1"/>
        <s v="1-110880/1"/>
        <s v="2-106452/2"/>
        <s v="1-111300/1"/>
        <s v="2-106805/1"/>
        <s v="1-110905/1"/>
        <s v="1-110877/1"/>
        <s v="1-110355/2"/>
        <s v="1-110909/1"/>
        <s v="3-104419/1"/>
        <s v="1-110869/1"/>
        <s v="2-106409/1"/>
        <s v="1-110912/1"/>
        <s v="1-110867/1"/>
        <s v="1-111363/1"/>
        <s v="1-110914/1"/>
        <s v="1-110166/2"/>
        <s v="1-110916/1"/>
        <s v="2-106550/1"/>
        <s v="3-104408/1"/>
        <s v="2-106544/2"/>
        <s v="1-111154/1"/>
        <s v="CP3433"/>
        <s v="3-104526/1"/>
        <s v="CP3430"/>
        <s v="2-106973/1"/>
        <s v="2-106894/1"/>
        <s v="3-104525/1"/>
        <s v="3-104606/1"/>
        <s v="1-111457/1"/>
        <s v="1-111203/1"/>
        <s v="1-111469/1"/>
        <s v="2-107077/1"/>
        <s v="1-111348/1"/>
        <s v="1-111456/1"/>
        <s v="2-106971/1"/>
        <s v="1-111445/1"/>
        <s v="2-106904/1"/>
        <s v="1-111314/1"/>
        <s v="2-107025/1"/>
        <s v="2-106906/1"/>
        <s v="2-106968/1"/>
        <s v="1-111017/1"/>
        <s v="2-107075/1"/>
        <s v="1-111298/1"/>
        <s v="2-107080/1"/>
        <s v="2-106809/1"/>
        <s v="1-111020/1"/>
        <s v="3-104602/1"/>
        <s v="3-104554/1"/>
        <s v="CP3427"/>
        <s v="CP3424"/>
        <s v="2-106982/1"/>
        <s v="CP3370"/>
        <s v="2-106986/1"/>
        <s v="3-104458/1"/>
        <s v="1-111152/1"/>
        <s v="CP3372"/>
        <s v="CP3421"/>
        <s v="1-110466/1"/>
        <s v="2-107177/1"/>
        <s v="2-106983/1"/>
        <s v="CP3354"/>
        <s v="CP3429"/>
        <s v="1-111150/1"/>
        <s v="1-111135/1"/>
        <s v="CP3423"/>
        <s v="1-111310/1"/>
        <s v="3-104398/1"/>
        <s v="CP3374"/>
        <s v="CP3431"/>
        <s v="1-110979/1"/>
        <s v="CP3457"/>
        <s v="1-111137/1"/>
        <s v="CP3376"/>
        <s v="CP3425"/>
        <s v="CP3432"/>
        <s v="1-111202/1"/>
        <s v="CP3428"/>
        <s v="2-106981/1"/>
        <s v="CP3401"/>
        <s v="CP3426"/>
        <s v="1-111213/1"/>
        <s v="1-111177/1"/>
        <s v="3-104552/1"/>
        <s v="2-107001/1"/>
        <s v="2-106996/1"/>
        <s v="1-111513/1"/>
        <s v="3-104671/1"/>
        <s v="3-104616/1"/>
        <s v="2-107106/1"/>
        <s v="2-106561/2"/>
        <s v="1-110410/2"/>
        <s v="1-111185/1"/>
        <s v="1-110418/2"/>
        <s v="1-110850/1"/>
        <s v="1-110936/1"/>
        <s v="3-104571/1"/>
        <s v="3-104673/1"/>
        <s v="3-104661/1"/>
        <s v="3-104259/2"/>
        <s v="2-107154/1"/>
        <s v="2-106598/1"/>
        <s v="2-106864/1"/>
        <s v="3-104620/1"/>
        <s v="2-106554/2"/>
        <s v="1-111379/1"/>
        <s v="3-104670/1"/>
        <s v="2-106861/1"/>
        <s v="2-107116/1"/>
        <s v="1-110921/1"/>
        <s v="3-104440/1"/>
        <s v="1-110917/1"/>
        <s v="1-111214/1"/>
        <s v="1-111326/1"/>
        <s v="1-110896/1"/>
        <s v="1-111330/1"/>
        <s v="1-111224/1"/>
        <s v="1-111325/1"/>
        <s v="1-111324/1"/>
        <s v="2-107044/1"/>
        <s v="2-107100/1"/>
        <s v="2-106825/1"/>
        <s v="1-111237/1"/>
        <s v="1-111377/1"/>
        <s v="1-111508/1"/>
        <s v="2-106833/1"/>
        <s v="2-107201/1"/>
        <s v="3-104663/1"/>
        <s v="1-111385/1"/>
        <s v="2-107053/1"/>
        <s v="1-111510/1"/>
        <s v="3-104579/1"/>
        <s v="2-106837/1"/>
        <s v="1-110949/1"/>
        <s v="3-104459/1"/>
        <s v="3-104494/1"/>
        <s v="2-106793/1"/>
        <s v="1-111434/1"/>
        <s v="3-104452/1"/>
        <s v="1-110442/2"/>
        <s v="2-106856/1"/>
        <s v="1-110851/1"/>
        <s v="1-110925/1"/>
        <s v="1-111322/1"/>
        <s v="2-106860/1"/>
        <s v="2-106954/1"/>
        <s v="2-107130/1"/>
        <s v="1-111349/1"/>
        <s v="1-111519/1"/>
        <s v="3-104681/1"/>
        <s v="2-107030/1"/>
        <s v="1-111416/1"/>
        <s v="1-110965/1"/>
        <s v="CP3365"/>
        <s v="2-106936/1"/>
        <s v="2-107060/1"/>
        <s v="CP3379"/>
        <s v="1-111071/1"/>
        <s v="2-107042/1"/>
        <s v="2-106927/1"/>
        <s v="1-111210/1"/>
        <s v="1-110765/1"/>
        <s v="3-104564/1"/>
        <s v="1-111374/1"/>
        <s v="1-111122/1"/>
        <s v="3-104627/1"/>
        <s v="2-107217/1"/>
        <s v="1-111101/1"/>
        <s v="2-107071/1"/>
        <s v="3-104269/2"/>
        <s v="3-104676/1"/>
        <s v="1-111391/1"/>
        <s v="3-104611/1"/>
        <s v="2-107206/1"/>
        <s v="2-107218/1"/>
        <s v="2-107129/1"/>
        <s v="1-110974/1"/>
        <s v="1-111532/1"/>
        <s v="2-107210/1"/>
        <s v="3-104624/1"/>
        <s v="1-111368/1"/>
        <s v="1-111529/1"/>
        <s v="1-111518/1"/>
        <s v="1-111528/1"/>
        <s v="1-111242/1"/>
        <s v="1-111243/1"/>
        <s v="3-104618/1"/>
        <s v="1-111246/1"/>
        <s v="1-111414/1"/>
        <s v="2-107055/1"/>
        <s v="2-107082/1"/>
        <s v="1-111417/1"/>
        <s v="1-111430/1"/>
        <s v="1-111407/1"/>
        <s v="3-104619/1"/>
        <s v="1-111381/1"/>
        <s v="2-107163/1"/>
        <s v="2-107058/1"/>
        <s v="2-106727/1"/>
        <s v="1-110170/2"/>
        <s v="1-110187/2"/>
        <s v="1-110955/1"/>
        <s v="2-106967/1"/>
        <s v="2-106880/1"/>
        <s v="1-110948/1"/>
        <s v="2-106575/2"/>
        <s v="1-110952/1"/>
        <s v="1-110904/1"/>
        <s v="1-110964/1"/>
        <s v="3-104264/2"/>
        <s v="1-110967/1"/>
        <s v="2-106560/2"/>
        <s v="1-110473/2"/>
        <s v="3-104450/1"/>
        <s v="1-110471/2"/>
        <s v="2-106821/1"/>
        <s v="3-104497/1"/>
        <s v="2-107234/1"/>
        <s v="1-111565/1"/>
        <s v="1-111431/1"/>
        <s v="1-111286/1"/>
        <s v="1-111028/1"/>
        <s v="3-104687/1"/>
        <s v="3-104692/1"/>
        <s v="2-107228/1"/>
        <s v="1-111288/1"/>
        <s v="2-107229/1"/>
        <s v="1-111557/1"/>
        <s v="2-107169/1"/>
        <s v="2-107003/1"/>
        <s v="2-107067/1"/>
        <s v="1-110432/2"/>
        <s v="1-110972/1"/>
        <s v="1-111278/1"/>
        <s v="1-110966/1"/>
        <s v="1-111275/1"/>
        <s v="1-111283/1"/>
        <s v="2-106871/1"/>
        <s v="1-110960/1"/>
        <s v="1-110954/1"/>
        <s v="1-111404/1"/>
        <s v="3-104626/1"/>
        <s v="3-104569/1"/>
        <s v="1-111410/1"/>
        <s v="3-104330/1"/>
        <s v="1-111419/1"/>
        <s v="3-104629/1"/>
        <s v="1-111424/1"/>
        <s v="2-107222/1"/>
        <s v="2-106879/1"/>
        <s v="CP3508"/>
        <s v="CP3400"/>
        <s v="CP3507"/>
        <s v="2-106570/2"/>
        <s v="CP3395"/>
        <s v="CP3467"/>
        <s v="2-107225/1"/>
        <s v="3-104557/1"/>
        <s v="CP3366"/>
        <s v="CP3398"/>
        <s v="CP3509"/>
        <s v="1-111100/1"/>
        <s v="1-111130/1"/>
        <s v="1-111545/1"/>
        <s v="1-111555/1"/>
        <s v="1-111235/1"/>
        <s v="1-111050/1"/>
        <s v="2-106526/2"/>
        <s v="3-104694/1"/>
        <s v="1-110493/2"/>
        <s v="1-110888/1"/>
        <s v="1-110499/2"/>
        <s v="1-111206/1"/>
        <s v="1-111540/1"/>
        <s v="3-104693/1"/>
        <s v="CP3419"/>
        <s v="3-104609/1"/>
        <s v="1-111607/1"/>
        <s v="2-107115/1"/>
        <s v="1-111338/1"/>
        <s v="3-104714/1"/>
        <s v="1-110537/2"/>
        <s v="2-106593/2"/>
        <s v="1-111372/1"/>
        <s v="1-111357/1"/>
        <s v="1-111603/1"/>
        <s v="3-104281/2"/>
        <s v="2-106587/2"/>
        <s v="1-110536/2"/>
        <s v="1-108786/2"/>
        <s v="1-110526/2"/>
        <s v="2-107261/1"/>
        <s v="1-111589/1"/>
        <s v="2-106600/2"/>
        <s v="1-110529/2"/>
        <s v="1-111356/1"/>
        <s v="3-104288/2"/>
        <s v="1-111423/1"/>
        <s v="2-107141/1"/>
        <s v="2-107189/1"/>
        <s v="2-107190/1"/>
        <s v="2-107192/1"/>
        <s v="1-111490/1"/>
        <s v="1-111493/1"/>
        <s v="3-104660/1"/>
        <s v="1-111503/1"/>
        <s v="3-104668/1"/>
        <s v="2-107243/1"/>
        <s v="1-111580/1"/>
        <s v="2-107242/1"/>
        <s v="1-111522/1"/>
        <s v="2-107241/1"/>
        <s v="1-111524/1"/>
        <s v="1-111577/1"/>
        <s v="1-111527/1"/>
        <s v="3-104678/1"/>
        <s v="1-111536/1"/>
        <s v="1-111595/1"/>
        <s v="2-107254/1"/>
        <s v="1-111573/1"/>
        <s v="1-111476/1"/>
        <s v="1-110546/2"/>
        <s v="2-107184/1"/>
        <s v="1-111464/1"/>
        <s v="2-106605/2"/>
        <s v="2-106616/2"/>
        <s v="CP3396"/>
        <s v="CP3448"/>
        <s v="CP3453"/>
        <s v="1-111587/1"/>
        <s v="1-111585/1"/>
        <s v="CP3451"/>
        <s v="1-110781/1"/>
        <s v="1-111437/1"/>
        <s v="2-107251/1"/>
        <s v="3-104640/1"/>
        <s v="1-111442/1"/>
        <s v="3-104641/1"/>
        <s v="2-107172/1"/>
        <s v="1-111446/1"/>
        <s v="2-107173/1"/>
        <s v="1-111455/1"/>
        <s v="3-104644/1"/>
        <s v="3-104645/1"/>
        <s v="1-111461/1"/>
        <s v="1-111468/1"/>
        <s v="1-110464/2"/>
        <s v="2-107104/1"/>
        <s v="1-110835/1"/>
        <s v="3-104488/1"/>
        <s v="1-111025/1"/>
        <s v="1-110463/2"/>
        <s v="1-111018/1"/>
        <s v="1-111255/1"/>
        <s v="3-104484/1"/>
        <s v="1-111012/1"/>
        <s v="3-104482/1"/>
        <s v="3-104479/1"/>
        <s v="3-104478/1"/>
        <s v="1-111005/1"/>
        <s v="3-104477/1"/>
        <s v="1-111003/1"/>
        <s v="1-111001/1"/>
        <s v="1-110997/1"/>
        <s v="1-111614/1"/>
        <s v="1-110994/1"/>
        <s v="1-111036/1"/>
        <s v="1-110990/1"/>
        <s v="2-107047/1"/>
        <s v="2-106920/1"/>
        <s v="1-111191/1"/>
        <s v="2-107015/1"/>
        <s v="1-111164/1"/>
        <s v="2-106988/1"/>
        <s v="2-106985/1"/>
        <s v="1-111198/1"/>
        <s v="1-111139/1"/>
        <s v="1-111131/1"/>
        <s v="1-111128/1"/>
        <s v="2-107027/1"/>
        <s v="2-107029/1"/>
        <s v="1-111216/1"/>
        <s v="1-111082/1"/>
        <s v="3-104496/1"/>
        <s v="1-111055/1"/>
        <s v="2-106926/1"/>
        <s v="3-104492/1"/>
        <s v="2-107238/1"/>
        <s v="1-110984/1"/>
        <s v="1-111021/1"/>
        <s v="1-111570/1"/>
        <s v="1-111320/1"/>
        <s v="2-106885/1"/>
        <s v="2-106836/1"/>
        <s v="2-106827/1"/>
        <s v="1-111318/1"/>
        <s v="3-104582/1"/>
        <s v="2-106394/2"/>
        <s v="2-106819/1"/>
        <s v="3-104427/1"/>
        <s v="3-104232/2"/>
        <s v="1-110134/2"/>
        <s v="1-111296/1"/>
        <s v="2-107105/1"/>
        <s v="1-111294/1"/>
        <s v="3-104064/2"/>
        <s v="2-107084/1"/>
        <s v="1-109957/2"/>
        <s v="1-110939/1"/>
        <s v="1-111613/1"/>
        <s v="1-111293/1"/>
        <s v="2-106852/1"/>
        <s v="1-110922/1"/>
        <s v="1-110430/2"/>
        <s v="1-110978/1"/>
        <s v="1-111342/1"/>
        <s v="1-111218/1"/>
        <s v="1-111094/1"/>
        <s v="2-107279/1"/>
        <s v="2-107010/1"/>
        <s v="3-104721/1"/>
        <s v="1-111172/1"/>
        <s v="1-111335/1"/>
        <s v="1-111645/1"/>
        <s v="1-111085/1"/>
        <s v="1-111636/1"/>
        <s v="2-107277/1"/>
        <s v="1-111497/1"/>
        <s v="3-104664/1"/>
        <s v="1-111628/1"/>
        <s v="2-107198/1"/>
        <s v="1-110272/2"/>
        <s v="1-111511/1"/>
        <s v="1-111516/1"/>
        <s v="2-107118/1"/>
        <s v="3-104270/2"/>
        <s v="2-107108/1"/>
        <s v="3-104682/1"/>
        <s v="3-104547/1"/>
        <s v="2-107207/1"/>
        <s v="1-111627/1"/>
        <s v="1-111161/1"/>
        <s v="3-104720/1"/>
        <s v="1-111648/1"/>
        <s v="1-111059/1"/>
        <s v="1-111076/1"/>
        <s v="2-106865/1"/>
        <s v="2-106627/2"/>
        <s v="1-110534/2"/>
        <s v="2-106638/2"/>
        <s v="1-111004/1"/>
        <s v="CP3377"/>
        <s v="1-110055/1"/>
        <s v="2-106907/1"/>
        <s v="1-111019/1"/>
        <s v="2-107057/1"/>
        <s v="1-111362/1"/>
        <s v="1-111024/1"/>
        <s v="2-106911/1"/>
        <s v="1-111031/1"/>
        <s v="3-104715/1"/>
        <s v="2-107051/1"/>
        <s v="3-104603/1"/>
        <s v="1-111038/1"/>
        <s v="2-107281/1"/>
        <s v="1-111042/1"/>
        <s v="2-106919/1"/>
        <s v="3-104561/1"/>
        <s v="1-111048/1"/>
        <s v="1-111054/1"/>
        <s v="2-106915/1"/>
        <s v="1-111068/1"/>
        <s v="3-104723/1"/>
        <s v="1-111066/1"/>
        <s v="2-106650/2"/>
        <s v="2-107288/1"/>
        <s v="1-111667/1"/>
        <s v="2-107297/1"/>
        <s v="3-104727/1"/>
        <s v="1-111675/1"/>
        <s v="2-107296/1"/>
        <s v="2-107292/1"/>
        <s v="3-104732/1"/>
        <s v="1-111052/1"/>
        <s v="2-107224/1"/>
        <s v="2-106951/1"/>
        <s v="3-104510/1"/>
        <s v="3-104509/1"/>
        <s v="3-104500/1"/>
        <s v="1-111075/1"/>
        <s v="3-104495/1"/>
        <s v="1-111063/1"/>
        <s v="2-106892/1"/>
        <s v="1-110139/2"/>
        <s v="CP3488"/>
        <s v="1-110502/2"/>
        <s v="1-110506/2"/>
        <s v="3-104294/2"/>
        <s v="3-104308/2"/>
        <s v="1-110571/2"/>
        <s v="2-106625/2"/>
        <s v="2-106636/2"/>
        <s v="2-106653/2"/>
        <s v="1-110620/2"/>
        <s v="3-104512/1"/>
        <s v="1-111553/1"/>
        <s v="2-106959/1"/>
        <s v="2-106961/1"/>
        <s v="1-111550/1"/>
        <s v="1-111546/1"/>
        <s v="2-107209/1"/>
        <s v="2-107208/1"/>
        <s v="1-111521/1"/>
        <s v="3-104675/1"/>
        <s v="2-107202/1"/>
        <s v="1-111439/1"/>
        <s v="1-111390/1"/>
        <s v="3-104621/1"/>
        <s v="1-111369/1"/>
        <s v="1-111366/1"/>
        <s v="1-111360/1"/>
        <s v="2-107124/1"/>
        <s v="1-111350/1"/>
        <s v="1-111285/1"/>
        <s v="1-111273/1"/>
        <s v="1-111220/1"/>
        <s v="1-111170/1"/>
        <s v="1-111113/1"/>
        <s v="CP3568"/>
      </sharedItems>
    </cacheField>
    <cacheField name="Histórico" numFmtId="0">
      <sharedItems containsBlank="1" count="7">
        <s v="LIQUIDACAO DE BOLETO"/>
        <m/>
        <s v="TARIFA PACOTE DE SERVICOS"/>
        <s v="TARIFA TED"/>
        <s v="IOF"/>
        <s v="PIX RECEBIDO"/>
        <s v="PAGAMENTO BOLETO"/>
      </sharedItems>
    </cacheField>
    <cacheField name="Descrição" numFmtId="0">
      <sharedItems containsBlank="1" count="477">
        <s v="Recebimento do cliente C00030"/>
        <s v="Recebimento do cliente C00317"/>
        <s v="Recebimento do cliente C00260"/>
        <s v="Compra de mercadorias - pedido 51755"/>
        <s v="Compra de mercadorias - pedido 51763"/>
        <s v="Compra de mercadorias - pedido 51754"/>
        <s v="Compra de mercadorias - pedido 51770"/>
        <m/>
        <s v="Recebimento do cliente C00055"/>
        <s v="Recebimento do cliente C00265"/>
        <s v="Recebimento do cliente C00042"/>
        <s v="Recebimento do cliente C00334"/>
        <s v="Recebimento do cliente C00310"/>
        <s v="Recebimento do cliente C00003"/>
        <s v="Recebimento do cliente C00205"/>
        <s v="Recebimento do cliente C00085"/>
        <s v="Recebimento do cliente C00165"/>
        <s v="Recebimento do cliente C00052"/>
        <s v="Recebimento do cliente C00358"/>
        <s v="Recebimento do cliente C00011"/>
        <s v="Recebimento do cliente C00187"/>
        <s v="Recebimento do cliente C00027"/>
        <s v="Recebimento do cliente C00225"/>
        <s v="Recebimento do cliente C00092"/>
        <s v="Recebimento do cliente C00223"/>
        <s v="Recebimento do cliente C00251"/>
        <s v="Recebimento do cliente C00036"/>
        <s v="Recebimento do cliente C00119"/>
        <s v="Recebimento do cliente C00145"/>
        <s v="Recebimento do cliente C00009"/>
        <s v="Recebimento do cliente C00404"/>
        <s v="Recebimento do cliente C00124"/>
        <s v="Recebimento do cliente C00189"/>
        <s v="Recebimento do cliente C00351"/>
        <s v="Recebimento do cliente C00333"/>
        <s v="Recebimento do cliente C00141"/>
        <s v="Recebimento do cliente C00158"/>
        <s v="Recebimento do cliente C00250"/>
        <s v="Recebimento do cliente C00348"/>
        <s v="Recebimento do cliente C00174"/>
        <s v="Recebimento do cliente C00393"/>
        <s v="Recebimento do cliente C00284"/>
        <s v="Recebimento do cliente C00394"/>
        <s v="Recebimento do cliente C00390"/>
        <s v="Recebimento do cliente C00420"/>
        <s v="Recebimento do cliente C00220"/>
        <s v="Recebimento do cliente C00263"/>
        <s v="Recebimento do cliente C00406"/>
        <s v="Recebimento do cliente C00386"/>
        <s v="Benefícios Administrativo - Matriz Porto Alegre - 12/2025"/>
        <s v="Benefícios Compras - Matriz Porto Alegre - 12/2025"/>
        <s v="Benefícios Comercial - Filial Pelotas - 12/2025"/>
        <s v="Benefícios Financeiro - Matriz Porto Alegre - 12/2025"/>
        <s v="Benefícios Comercial - Filial Caxias do Sul - 12/2025"/>
        <s v="Benefícios Logística - Filial Pelotas - 12/2025"/>
        <s v="Compra de mercadorias - pedido 51688"/>
        <s v="Benefícios Comercial - Matriz Porto Alegre - 12/2025"/>
        <s v="Benefícios Logística - Filial Caxias do Sul - 12/2025"/>
        <s v="Tarifas bancárias e cobrança - 11/2025"/>
        <s v="Compra de mercadorias - pedido 51678"/>
        <s v="Compra de mercadorias - pedido 51645"/>
        <s v="Compra de mercadorias - pedido 51671"/>
        <s v="Compra de mercadorias - pedido 51623"/>
        <s v="Benefícios Logística - Matriz Porto Alegre - 12/2025"/>
        <s v="Compra de mercadorias - pedido 51653"/>
        <s v="Compra de mercadorias - pedido 51677"/>
        <s v="Benefícios Tecnologia da Informação - Matriz Porto Alegre - 12/2025"/>
        <s v="Benefícios Recursos Humanos - Matriz Porto Alegre - 12/2025"/>
        <s v="Benefícios Diretoria - Matriz Porto Alegre - 12/2025"/>
        <s v="Benefícios Administrativo - Filial Pelotas - 12/2025"/>
        <s v="Recebimento do cliente C00252"/>
        <s v="Recebimento do cliente C00166"/>
        <s v="Recebimento do cliente C00293"/>
        <s v="Recebimento do cliente C00086"/>
        <s v="Recebimento do cliente C00104"/>
        <s v="Recebimento do cliente C00329"/>
        <s v="Recebimento do cliente C00289"/>
        <s v="Recebimento do cliente C00026"/>
        <s v="Recebimento do cliente C00320"/>
        <s v="Recebimento do cliente C00100"/>
        <s v="Recebimento do cliente C00389"/>
        <s v="Recebimento do cliente C00283"/>
        <s v="Recebimento do cliente C00127"/>
        <s v="Recebimento do cliente C00193"/>
        <s v="Recebimento do cliente C00291"/>
        <s v="Benefícios Administrativo - Filial Caxias do Sul - 12/2025"/>
        <s v="Recebimento do cliente C00405"/>
        <s v="Recebimento do cliente C00161"/>
        <s v="Recebimento do cliente C00148"/>
        <s v="Recebimento do cliente C00340"/>
        <s v="Recebimento do cliente C00281"/>
        <s v="Recebimento do cliente C00231"/>
        <s v="Recebimento do cliente C00160"/>
        <s v="Recebimento do cliente C00337"/>
        <s v="Recebimento do cliente C00381"/>
        <s v="Recebimento do cliente C00123"/>
        <s v="Recebimento do cliente C00245"/>
        <s v="Recebimento do cliente C00301"/>
        <s v="Recebimento do cliente C00246"/>
        <s v="Recebimento do cliente C00078"/>
        <s v="Recebimento do cliente C00415"/>
        <s v="Recebimento do cliente C00098"/>
        <s v="Recebimento do cliente C00308"/>
        <s v="Recebimento do cliente C00277"/>
        <s v="Recebimento do cliente C00275"/>
        <s v="Recebimento do cliente C00232"/>
        <s v="Recebimento do cliente C00162"/>
        <s v="Recebimento do cliente C00058"/>
        <s v="Recebimento do cliente C00154"/>
        <s v="Recebimento do cliente C00378"/>
        <s v="Recebimento do cliente C00366"/>
        <s v="Recebimento do cliente C00038"/>
        <s v="Recebimento do cliente C00230"/>
        <s v="Recebimento do cliente C00093"/>
        <s v="Recebimento do cliente C00091"/>
        <s v="Recebimento do cliente C00155"/>
        <s v="Recebimento do cliente C00073"/>
        <s v="Recebimento do cliente C00043"/>
        <s v="Recebimento do cliente C00079"/>
        <s v="Recebimento do cliente C00005"/>
        <s v="Recebimento do cliente C00029"/>
        <s v="Recebimento do cliente C00377"/>
        <s v="Recebimento do cliente C00046"/>
        <s v="Recebimento do cliente C00402"/>
        <s v="Recebimento do cliente C00276"/>
        <s v="Recebimento do cliente C00354"/>
        <s v="Recebimento do cliente C00167"/>
        <s v="Recebimento do cliente C00152"/>
        <s v="Recebimento do cliente C00051"/>
        <s v="Compra de mercadorias - pedido 51684"/>
        <s v="Compra de mercadorias - pedido 51704"/>
        <s v="Compra de mercadorias - pedido 51691"/>
        <s v="Recebimento do cliente C00206"/>
        <s v="Compra de mercadorias - pedido 51706"/>
        <s v="Recebimento do cliente C00114"/>
        <s v="Recebimento do cliente C00419"/>
        <s v="Recebimento do cliente C00370"/>
        <s v="Recebimento do cliente C00034"/>
        <s v="Recebimento do cliente C00372"/>
        <s v="Compra de mercadorias - pedido 51647"/>
        <s v="Recebimento do cliente C00371"/>
        <s v="Recebimento do cliente C00313"/>
        <s v="Compra de mercadorias - pedido 51644"/>
        <s v="Recebimento do cliente C00328"/>
        <s v="Recebimento do cliente C00120"/>
        <s v="Compra de mercadorias - pedido 51664"/>
        <s v="Recebimento do cliente C00412"/>
        <s v="Recebimento do cliente C00414"/>
        <s v="Recebimento do cliente C00050"/>
        <s v="Recebimento do cliente C00071"/>
        <s v="Recebimento do cliente C00282"/>
        <s v="Recebimento do cliente C00197"/>
        <s v="Recebimento do cliente C00221"/>
        <s v="Recebimento do cliente C00379"/>
        <s v="Recebimento do cliente C00408"/>
        <s v="Recebimento do cliente C00319"/>
        <s v="Recebimento do cliente C00264"/>
        <s v="Recebimento do cliente C00383"/>
        <s v="Recebimento do cliente C00384"/>
        <s v="Recebimento do cliente C00219"/>
        <s v="Recebimento do cliente C00130"/>
        <s v="Recebimento do cliente C00060"/>
        <s v="Recebimento do cliente C00239"/>
        <s v="Recebimento do cliente C00326"/>
        <s v="Recebimento do cliente C00244"/>
        <s v="Recebimento do cliente C00303"/>
        <s v="Recebimento do cliente C00064"/>
        <s v="Recebimento do cliente C00106"/>
        <s v="Recebimento do cliente C00142"/>
        <s v="Recebimento do cliente C00363"/>
        <s v="Recebimento do cliente C00316"/>
        <s v="Recebimento do cliente C00012"/>
        <s v="Recebimento do cliente C00111"/>
        <s v="Recebimento do cliente C00216"/>
        <s v="Recebimento do cliente C00172"/>
        <s v="Recebimento do cliente C00176"/>
        <s v="Recebimento do cliente C00006"/>
        <s v="Recebimento do cliente C00288"/>
        <s v="Compra de mercadorias - pedido 51655"/>
        <s v="Recebimento do cliente C00373"/>
        <s v="Compra de mercadorias - pedido 51682"/>
        <s v="Recebimento do cliente C00336"/>
        <s v="Recebimento do cliente C00096"/>
        <s v="Recebimento do cliente C00180"/>
        <s v="Recebimento do cliente C00062"/>
        <s v="Recebimento do cliente C00025"/>
        <s v="Recebimento do cliente C00037"/>
        <s v="Recebimento do cliente C00181"/>
        <s v="Recebimento do cliente C00132"/>
        <s v="Recebimento do cliente C00344"/>
        <s v="Recebimento do cliente C00360"/>
        <s v="Recebimento do cliente C00128"/>
        <s v="Recebimento do cliente C00066"/>
        <s v="Recebimento do cliente C00209"/>
        <s v="Recebimento do cliente C00192"/>
        <s v="Recebimento do cliente C00175"/>
        <s v="Recebimento do cliente C00296"/>
        <s v="Recebimento do cliente C00248"/>
        <s v="Recebimento do cliente C00236"/>
        <s v="Recebimento do cliente C00380"/>
        <s v="Compra de mercadorias - pedido 51693"/>
        <s v="Compra de mercadorias - pedido 51665"/>
        <s v="Compra de mercadorias - pedido 51660"/>
        <s v="Recebimento do cliente C00249"/>
        <s v="Recebimento do cliente C00353"/>
        <s v="Compra de mercadorias - pedido 51710"/>
        <s v="Recebimento do cliente C00004"/>
        <s v="Salários Logística - Filial Pelotas - 11/2025"/>
        <s v="Recebimento do cliente C00256"/>
        <s v="Salários Tecnologia da Informação - Matriz Porto Alegre - 11/2025"/>
        <s v="Recebimento do cliente C00258"/>
        <s v="Salários Comercial - Filial Pelotas - 11/2025"/>
        <s v="Salários Administrativo - Matriz Porto Alegre - 11/2025"/>
        <s v="Recebimento do cliente C00196"/>
        <s v="Salários Administrativo - Filial Pelotas - 11/2025"/>
        <s v="Aluguel - Filial Pelotas - 12/2025"/>
        <s v="Salários Administrativo - Filial Caxias do Sul - 11/2025"/>
        <s v="Recebimento do cliente C00343"/>
        <s v="Salários Recursos Humanos - Matriz Porto Alegre - 11/2025"/>
        <s v="Recebimento do cliente C00117"/>
        <s v="Recebimento do cliente C00396"/>
        <s v="Recebimento do cliente C00314"/>
        <s v="Aluguel - Filial Caxias do Sul - 12/2025"/>
        <s v="Recebimento do cliente C00361"/>
        <s v="Salários Comercial - Filial Caxias do Sul - 11/2025"/>
        <s v="Recebimento do cliente C00237"/>
        <s v="Compra de mercadorias - pedido 51685"/>
        <s v="Aluguel - Matriz Porto Alegre - 12/2025"/>
        <s v="Recebimento do cliente C00183"/>
        <s v="Salários Diretoria - Matriz Porto Alegre - 11/2025"/>
        <s v="Recebimento do cliente C00178"/>
        <s v="Salários Logística - Matriz Porto Alegre - 11/2025"/>
        <s v="Salários Logística - Filial Caxias do Sul - 11/2025"/>
        <s v="Salários Comercial - Matriz Porto Alegre - 11/2025"/>
        <s v="Salários Financeiro - Matriz Porto Alegre - 11/2025"/>
        <s v="Recebimento do cliente C00392"/>
        <s v="Salários Compras - Matriz Porto Alegre - 11/2025"/>
        <s v="Recebimento do cliente C00302"/>
        <s v="Recebimento do cliente C00019"/>
        <s v="Recebimento do cliente C00274"/>
        <s v="Recebimento do cliente C00057"/>
        <s v="Recebimento do cliente C00099"/>
        <s v="Recebimento do cliente C00253"/>
        <s v="Recebimento do cliente C00140"/>
        <s v="Recebimento do cliente C00261"/>
        <s v="Recebimento do cliente C00047"/>
        <s v="Recebimento do cliente C00306"/>
        <s v="Recebimento do cliente C00083"/>
        <s v="Recebimento do cliente C00017"/>
        <s v="Recebimento do cliente C00022"/>
        <s v="Recebimento do cliente C00082"/>
        <s v="Recebimento do cliente C00007"/>
        <s v="Recebimento do cliente C00095"/>
        <s v="Recebimento do cliente C00049"/>
        <s v="Recebimento do cliente C00170"/>
        <s v="Compra de mercadorias - pedido 51666"/>
        <s v="Recebimento do cliente C00157"/>
        <s v="Recebimento do cliente C00387"/>
        <s v="Recebimento do cliente C00103"/>
        <s v="Recebimento do cliente C00045"/>
        <s v="Recebimento do cliente C00097"/>
        <s v="Compra de mercadorias - pedido 51703"/>
        <s v="Compra de mercadorias - pedido 51696"/>
        <s v="Compra de mercadorias - pedido 51714"/>
        <s v="Compra de mercadorias - pedido 51694"/>
        <s v="Compra de mercadorias - pedido 51670"/>
        <s v="Compra de mercadorias - pedido 51679"/>
        <s v="Compra de mercadorias - pedido 51667"/>
        <s v="Compra de mercadorias - pedido 51680"/>
        <s v="Compra de mercadorias - pedido 51701"/>
        <s v="Recebimento do cliente C00398"/>
        <s v="Recebimento do cliente C00032"/>
        <s v="Compra de mercadorias - pedido 51700"/>
        <s v="Recebimento do cliente C00299"/>
        <s v="Compra de mercadorias - pedido 51695"/>
        <s v="Recebimento do cliente C00137"/>
        <s v="Recebimento do cliente C00074"/>
        <s v="Recebimento do cliente C00195"/>
        <s v="Recebimento do cliente C00016"/>
        <s v="Recebimento do cliente C00229"/>
        <s v="Recebimento do cliente C00287"/>
        <s v="Recebimento do cliente C00278"/>
        <s v="Recebimento do cliente C00397"/>
        <s v="Compra de mercadorias - pedido 51702"/>
        <s v="Recebimento do cliente C00149"/>
        <s v="Compra de mercadorias - pedido 51673"/>
        <s v="Compra de mercadorias - pedido 51690"/>
        <s v="Compra de mercadorias - pedido 51669"/>
        <s v="Recebimento do cliente C00341"/>
        <s v="Recebimento do cliente C00417"/>
        <s v="Recebimento do cliente C00018"/>
        <s v="Recebimento do cliente C00061"/>
        <s v="Recebimento do cliente C00014"/>
        <s v="Recebimento do cliente C00359"/>
        <s v="Recebimento do cliente C00021"/>
        <s v="Recebimento do cliente C00290"/>
        <s v="Recebimento do cliente C00087"/>
        <s v="Recebimento do cliente C00067"/>
        <s v="Recebimento do cliente C00305"/>
        <s v="Recebimento do cliente C00084"/>
        <s v="Compra de mercadorias - pedido 51686"/>
        <s v="Limpeza e vigilância - Filial Pelotas - 11/2025"/>
        <s v="Combustível frota - Matriz Porto Alegre - 2ª quinzena 11/2025"/>
        <s v="Honorários contábeis - 11/2025"/>
        <s v="Limpeza e vigilância - Filial Caxias do Sul - 11/2025"/>
        <s v="Compra de mercadorias - pedido 51705"/>
        <s v="Compra de mercadorias - pedido 51674"/>
        <s v="Limpeza e vigilância - Matriz Porto Alegre - 11/2025"/>
        <s v="Combustível frota - Filial Caxias do Sul - 2ª quinzena 11/2025"/>
        <s v="Assessoria jurídica - 11/2025"/>
        <s v="Recebimento do cliente C00292"/>
        <s v="Recebimento do cliente C00105"/>
        <s v="Recebimento do cliente C00399"/>
        <s v="Recebimento do cliente C00254"/>
        <s v="Recebimento do cliente C00413"/>
        <s v="Recebimento do cliente C00355"/>
        <s v="Recebimento do cliente C00069"/>
        <s v="Compra de mercadorias - pedido 51681"/>
        <s v="Recebimento do cliente C00147"/>
        <s v="Recebimento do cliente C00357"/>
        <s v="Compra de mercadorias - pedido 51722"/>
        <s v="Recebimento do cliente C00407"/>
        <s v="Recebimento do cliente C00090"/>
        <s v="Compra de mercadorias - pedido 51675"/>
        <s v="Recebimento do cliente C00116"/>
        <s v="Recebimento do cliente C00243"/>
        <s v="Recebimento do cliente C00053"/>
        <s v="Recebimento do cliente C00102"/>
        <s v="Recebimento do cliente C00327"/>
        <s v="Energia elétrica e água - Filial Pelotas - 11/2025"/>
        <s v="Energia elétrica e água - Filial Caxias do Sul - 11/2025"/>
        <s v="Energia elétrica e água - Matriz Porto Alegre - 11/2025"/>
        <s v="Recebimento do cliente C00184"/>
        <s v="Recebimento do cliente C00151"/>
        <s v="Recebimento do cliente C00331"/>
        <s v="Recebimento do cliente C00267"/>
        <s v="Recebimento do cliente C00403"/>
        <s v="Recebimento do cliente C00198"/>
        <s v="Recebimento do cliente C00318"/>
        <s v="Recebimento do cliente C00208"/>
        <s v="Recebimento do cliente C00368"/>
        <s v="Recebimento do cliente C00352"/>
        <s v="Internet e telefonia - Filial Pelotas - 11/2025"/>
        <s v="Compra de mercadorias - pedido 51708"/>
        <s v="Compra de mercadorias - pedido 51718"/>
        <s v="Compra de mercadorias - pedido 51697"/>
        <s v="Campanhas e material de trade - 11/2025"/>
        <s v="Compra de mercadorias - pedido 51726"/>
        <s v="Compra de mercadorias - pedido 51717"/>
        <s v="Compra de mercadorias - pedido 51716"/>
        <s v="Compra de mercadorias - pedido 51729"/>
        <s v="Compra de mercadorias - pedido 51687"/>
        <s v="Compra de mercadorias - pedido 51731"/>
        <s v="Compra de mercadorias - pedido 51713"/>
        <s v="Material de escritório - Matriz Porto Alegre"/>
        <s v="Internet e telefonia - Matriz Porto Alegre - 11/2025"/>
        <s v="Material de escritório - Filial Pelotas"/>
        <s v="Material de escritório - Filial Caxias do Sul"/>
        <s v="Recebimento do cliente C00146"/>
        <s v="Recebimento do cliente C00416"/>
        <s v="Recebimento do cliente C00173"/>
        <s v="Recebimento do cliente C00202"/>
        <s v="Recebimento do cliente C00044"/>
        <s v="Recebimento do cliente C00266"/>
        <s v="Recebimento do cliente C00110"/>
        <s v="Internet e telefonia - Filial Caxias do Sul - 11/2025"/>
        <s v="Recebimento do cliente C00199"/>
        <s v="Recebimento do cliente C00376"/>
        <s v="Recebimento do cliente C00279"/>
        <s v="Recebimento do cliente C00411"/>
        <s v="Recebimento do cliente C00311"/>
        <s v="Recebimento do cliente C00107"/>
        <s v="Recebimento do cliente C00108"/>
        <s v="Recebimento do cliente C00212"/>
        <s v="Compra de mercadorias - pedido 51699"/>
        <s v="Recebimento do cliente C00129"/>
        <s v="Compra de mercadorias - pedido 51720"/>
        <s v="Recebimento do cliente C00362"/>
        <s v="Compra de mercadorias - pedido 51737"/>
        <s v="Compra de mercadorias - pedido 51736"/>
        <s v="Recebimento do cliente C00409"/>
        <s v="Combustível frota - Filial Pelotas - 2ª quinzena 11/2025"/>
        <s v="Recebimento do cliente C00080"/>
        <s v="Recebimento do cliente C00185"/>
        <s v="Recebimento do cliente C00346"/>
        <s v="Recebimento do cliente C00126"/>
        <s v="Compra de mercadorias - pedido 51709"/>
        <s v="Recebimento do cliente C00177"/>
        <s v="Recebimento do cliente C00201"/>
        <s v="Recebimento do cliente C00295"/>
        <s v="Compra de mercadorias - pedido 51723"/>
        <s v="Compra de mercadorias - pedido 51740"/>
        <s v="Compra de mercadorias - pedido 51711"/>
        <s v="Recebimento do cliente C00255"/>
        <s v="ICMS apurado - 11/2025"/>
        <s v="Compra de mercadorias - pedido 51725"/>
        <s v="Compra de mercadorias - pedido 51715"/>
        <s v="Compra de mercadorias - pedido 51749"/>
        <s v="Recebimento do cliente C00259"/>
        <s v="Recebimento do cliente C00269"/>
        <s v="INSS/FGTS Logística - Matriz Porto Alegre - 11/2025"/>
        <s v="Recebimento do cliente C00307"/>
        <s v="INSS/FGTS Diretoria - Matriz Porto Alegre - 11/2025"/>
        <s v="Compra de mercadorias - pedido 51748"/>
        <s v="Recebimento do cliente C00367"/>
        <s v="INSS/FGTS Administrativo - Filial Pelotas - 11/2025"/>
        <s v="INSS/FGTS Administrativo - Filial Caxias do Sul - 11/2025"/>
        <s v="Recebimento do cliente C00280"/>
        <s v="Recebimento do cliente C00257"/>
        <s v="Recebimento do cliente C00081"/>
        <s v="Recebimento do cliente C00401"/>
        <s v="Recebimento do cliente C00271"/>
        <s v="Recebimento do cliente C00115"/>
        <s v="INSS/FGTS Administrativo - Matriz Porto Alegre - 11/2025"/>
        <s v="INSS/FGTS Recursos Humanos - Matriz Porto Alegre - 11/2025"/>
        <s v="Compra de mercadorias - pedido 51730"/>
        <s v="Recebimento do cliente C00168"/>
        <s v="Compra de mercadorias - pedido 51712"/>
        <s v="INSS/FGTS Comercial - Matriz Porto Alegre - 11/2025"/>
        <s v="Compra de mercadorias - pedido 51707"/>
        <s v="INSS/FGTS Logística - Filial Caxias do Sul - 11/2025"/>
        <s v="INSS/FGTS Financeiro - Matriz Porto Alegre - 11/2025"/>
        <s v="Compra de mercadorias - pedido 51734"/>
        <s v="INSS/FGTS Comercial - Filial Pelotas - 11/2025"/>
        <s v="Licença do ERP e suporte - 12/2025"/>
        <s v="Compra de mercadorias - pedido 51732"/>
        <s v="INSS/FGTS Compras - Matriz Porto Alegre - 11/2025"/>
        <s v="INSS/FGTS Logística - Filial Pelotas - 11/2025"/>
        <s v="Recebimento do cliente C00094"/>
        <s v="INSS/FGTS Comercial - Filial Caxias do Sul - 11/2025"/>
        <s v="Compra de mercadorias - pedido 51739"/>
        <s v="INSS/FGTS Tecnologia da Informação - Matriz Porto Alegre - 11/2025"/>
        <s v="Recebimento do cliente C00369"/>
        <s v="Recebimento do cliente C00063"/>
        <s v="Recebimento do cliente C00020"/>
        <s v="Recebimento do cliente C00375"/>
        <s v="Recebimento do cliente C00215"/>
        <s v="Recebimento do cliente C00324"/>
        <s v="Compra de mercadorias - pedido 51721"/>
        <s v="Compra de mercadorias - pedido 51733"/>
        <s v="Recebimento do cliente C00364"/>
        <s v="Recebimento do cliente C00194"/>
        <s v="Recebimento do cliente C00113"/>
        <s v="Recebimento do cliente C00133"/>
        <s v="Recebimento do cliente C00226"/>
        <s v="Recebimento do cliente C00153"/>
        <s v="Recebimento do cliente C00204"/>
        <s v="Recebimento do cliente C00075"/>
        <s v="Combustível frota - Filial Caxias do Sul - 1ª quinzena 12/2025"/>
        <s v="Compra de mercadorias - pedido 51727"/>
        <s v="Combustível frota - Matriz Porto Alegre - 1ª quinzena 12/2025"/>
        <s v="Compra de mercadorias - pedido 51724"/>
        <s v="Compra de mercadorias - pedido 51761"/>
        <s v="Compra de mercadorias - pedido 51719"/>
        <s v="Compra de mercadorias - pedido 51741"/>
        <s v="Combustível frota - Filial Pelotas - 1ª quinzena 12/2025"/>
        <s v="Recebimento do cliente C00338"/>
        <s v="Recebimento do cliente C00315"/>
        <s v="PIS/COFINS apurado - 11/2025"/>
        <s v="Compra de equipamentos de informática"/>
        <s v="Compra de mercadorias - pedido 51744"/>
        <s v="Compra de mercadorias - pedido 51742"/>
        <s v="Compra de mercadorias - pedido 51745"/>
        <s v="Recebimento do cliente C00365"/>
        <s v="Recebimento do cliente C00247"/>
        <s v="Recebimento do cliente C00190"/>
        <s v="Recebimento do cliente C00235"/>
        <s v="Recebimento do cliente C00418"/>
        <s v="Recebimento do cliente C00382"/>
        <s v="Recebimento do cliente C00076"/>
        <s v="Compra de mercadorias - pedido 51728"/>
        <s v="Recebimento do cliente C00234"/>
        <s v="Recebimento do cliente C00179"/>
        <s v="Compra de mercadorias - pedido 51776"/>
        <s v="Recebimento do cliente C00350"/>
        <s v="Recebimento do cliente C00041"/>
        <s v="Tarifas bancárias e cobrança - 12/2025"/>
      </sharedItems>
    </cacheField>
    <cacheField name="Valor no Extrato" numFmtId="39">
      <sharedItems containsString="0" containsBlank="1" containsNumber="1" minValue="-517044.24" maxValue="32783.43"/>
    </cacheField>
    <cacheField name="Valor no Sistema" numFmtId="39">
      <sharedItems containsString="0" containsBlank="1" containsNumber="1" minValue="-517044.24" maxValue="32783.43"/>
    </cacheField>
    <cacheField name="Diferença" numFmtId="39">
      <sharedItems containsSemiMixedTypes="0" containsString="0" containsNumber="1" minValue="-189.9" maxValue="37628.160000000003"/>
    </cacheField>
    <cacheField name="Lançamentos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1">
  <r>
    <x v="0"/>
    <x v="0"/>
    <x v="0"/>
    <x v="0"/>
    <x v="0"/>
    <x v="0"/>
    <x v="0"/>
    <n v="7054.59"/>
    <n v="7010.17"/>
    <n v="44.420000000000073"/>
    <n v="1"/>
  </r>
  <r>
    <x v="0"/>
    <x v="0"/>
    <x v="1"/>
    <x v="1"/>
    <x v="1"/>
    <x v="0"/>
    <x v="1"/>
    <n v="1971.2"/>
    <n v="1927.12"/>
    <n v="44.080000000000155"/>
    <n v="1"/>
  </r>
  <r>
    <x v="0"/>
    <x v="0"/>
    <x v="2"/>
    <x v="2"/>
    <x v="2"/>
    <x v="0"/>
    <x v="2"/>
    <n v="3552.03"/>
    <n v="3498.15"/>
    <n v="53.880000000000109"/>
    <n v="1"/>
  </r>
  <r>
    <x v="1"/>
    <x v="1"/>
    <x v="3"/>
    <x v="3"/>
    <x v="3"/>
    <x v="1"/>
    <x v="3"/>
    <m/>
    <n v="-15970.35"/>
    <n v="15970.35"/>
    <n v="1"/>
  </r>
  <r>
    <x v="1"/>
    <x v="1"/>
    <x v="3"/>
    <x v="3"/>
    <x v="4"/>
    <x v="1"/>
    <x v="4"/>
    <m/>
    <n v="-12325.05"/>
    <n v="12325.05"/>
    <n v="1"/>
  </r>
  <r>
    <x v="1"/>
    <x v="1"/>
    <x v="3"/>
    <x v="2"/>
    <x v="5"/>
    <x v="1"/>
    <x v="5"/>
    <m/>
    <n v="-13292.16"/>
    <n v="13292.16"/>
    <n v="1"/>
  </r>
  <r>
    <x v="1"/>
    <x v="1"/>
    <x v="3"/>
    <x v="2"/>
    <x v="6"/>
    <x v="1"/>
    <x v="6"/>
    <m/>
    <n v="-37628.160000000003"/>
    <n v="37628.160000000003"/>
    <n v="1"/>
  </r>
  <r>
    <x v="2"/>
    <x v="1"/>
    <x v="4"/>
    <x v="4"/>
    <x v="7"/>
    <x v="2"/>
    <x v="7"/>
    <n v="-189.9"/>
    <m/>
    <n v="-189.9"/>
    <n v="1"/>
  </r>
  <r>
    <x v="2"/>
    <x v="1"/>
    <x v="5"/>
    <x v="4"/>
    <x v="7"/>
    <x v="3"/>
    <x v="7"/>
    <n v="-12.5"/>
    <m/>
    <n v="-12.5"/>
    <n v="1"/>
  </r>
  <r>
    <x v="2"/>
    <x v="1"/>
    <x v="1"/>
    <x v="4"/>
    <x v="7"/>
    <x v="3"/>
    <x v="7"/>
    <n v="-12.5"/>
    <m/>
    <n v="-12.5"/>
    <n v="1"/>
  </r>
  <r>
    <x v="2"/>
    <x v="1"/>
    <x v="6"/>
    <x v="4"/>
    <x v="7"/>
    <x v="4"/>
    <x v="7"/>
    <n v="-3.27"/>
    <m/>
    <n v="-3.27"/>
    <n v="1"/>
  </r>
  <r>
    <x v="3"/>
    <x v="0"/>
    <x v="7"/>
    <x v="5"/>
    <x v="8"/>
    <x v="0"/>
    <x v="8"/>
    <n v="21247.82"/>
    <n v="21247.82"/>
    <n v="0"/>
    <n v="1"/>
  </r>
  <r>
    <x v="3"/>
    <x v="2"/>
    <x v="7"/>
    <x v="5"/>
    <x v="9"/>
    <x v="5"/>
    <x v="9"/>
    <n v="7673.63"/>
    <n v="7673.63"/>
    <n v="0"/>
    <n v="1"/>
  </r>
  <r>
    <x v="3"/>
    <x v="0"/>
    <x v="7"/>
    <x v="5"/>
    <x v="10"/>
    <x v="0"/>
    <x v="10"/>
    <n v="2164.65"/>
    <n v="2164.65"/>
    <n v="0"/>
    <n v="1"/>
  </r>
  <r>
    <x v="3"/>
    <x v="0"/>
    <x v="7"/>
    <x v="5"/>
    <x v="11"/>
    <x v="0"/>
    <x v="11"/>
    <n v="2127.71"/>
    <n v="2127.71"/>
    <n v="0"/>
    <n v="1"/>
  </r>
  <r>
    <x v="3"/>
    <x v="0"/>
    <x v="7"/>
    <x v="5"/>
    <x v="12"/>
    <x v="0"/>
    <x v="12"/>
    <n v="2118.64"/>
    <n v="2118.64"/>
    <n v="0"/>
    <n v="1"/>
  </r>
  <r>
    <x v="3"/>
    <x v="0"/>
    <x v="7"/>
    <x v="5"/>
    <x v="13"/>
    <x v="0"/>
    <x v="13"/>
    <n v="2102.59"/>
    <n v="2102.59"/>
    <n v="0"/>
    <n v="1"/>
  </r>
  <r>
    <x v="3"/>
    <x v="0"/>
    <x v="7"/>
    <x v="5"/>
    <x v="14"/>
    <x v="0"/>
    <x v="14"/>
    <n v="2060.09"/>
    <n v="2060.09"/>
    <n v="0"/>
    <n v="1"/>
  </r>
  <r>
    <x v="3"/>
    <x v="0"/>
    <x v="7"/>
    <x v="5"/>
    <x v="15"/>
    <x v="0"/>
    <x v="15"/>
    <n v="1962.34"/>
    <n v="1962.34"/>
    <n v="0"/>
    <n v="1"/>
  </r>
  <r>
    <x v="3"/>
    <x v="0"/>
    <x v="7"/>
    <x v="5"/>
    <x v="16"/>
    <x v="0"/>
    <x v="16"/>
    <n v="1952.5"/>
    <n v="1952.5"/>
    <n v="0"/>
    <n v="1"/>
  </r>
  <r>
    <x v="3"/>
    <x v="0"/>
    <x v="7"/>
    <x v="5"/>
    <x v="17"/>
    <x v="0"/>
    <x v="17"/>
    <n v="1893.58"/>
    <n v="1893.58"/>
    <n v="0"/>
    <n v="1"/>
  </r>
  <r>
    <x v="3"/>
    <x v="0"/>
    <x v="7"/>
    <x v="5"/>
    <x v="18"/>
    <x v="0"/>
    <x v="18"/>
    <n v="1834.96"/>
    <n v="1834.96"/>
    <n v="0"/>
    <n v="1"/>
  </r>
  <r>
    <x v="3"/>
    <x v="0"/>
    <x v="7"/>
    <x v="5"/>
    <x v="19"/>
    <x v="0"/>
    <x v="19"/>
    <n v="2216.33"/>
    <n v="2216.33"/>
    <n v="0"/>
    <n v="1"/>
  </r>
  <r>
    <x v="3"/>
    <x v="0"/>
    <x v="7"/>
    <x v="5"/>
    <x v="20"/>
    <x v="0"/>
    <x v="20"/>
    <n v="1748.98"/>
    <n v="1748.98"/>
    <n v="0"/>
    <n v="1"/>
  </r>
  <r>
    <x v="3"/>
    <x v="0"/>
    <x v="7"/>
    <x v="5"/>
    <x v="21"/>
    <x v="0"/>
    <x v="21"/>
    <n v="1595.51"/>
    <n v="1595.51"/>
    <n v="0"/>
    <n v="1"/>
  </r>
  <r>
    <x v="3"/>
    <x v="0"/>
    <x v="7"/>
    <x v="5"/>
    <x v="22"/>
    <x v="0"/>
    <x v="22"/>
    <n v="1539.19"/>
    <n v="1539.19"/>
    <n v="0"/>
    <n v="1"/>
  </r>
  <r>
    <x v="3"/>
    <x v="0"/>
    <x v="7"/>
    <x v="5"/>
    <x v="23"/>
    <x v="0"/>
    <x v="23"/>
    <n v="1517.31"/>
    <n v="1517.31"/>
    <n v="0"/>
    <n v="1"/>
  </r>
  <r>
    <x v="3"/>
    <x v="0"/>
    <x v="7"/>
    <x v="5"/>
    <x v="24"/>
    <x v="0"/>
    <x v="24"/>
    <n v="1467.67"/>
    <n v="1467.67"/>
    <n v="0"/>
    <n v="1"/>
  </r>
  <r>
    <x v="3"/>
    <x v="0"/>
    <x v="7"/>
    <x v="5"/>
    <x v="25"/>
    <x v="0"/>
    <x v="25"/>
    <n v="1465.5"/>
    <n v="1465.5"/>
    <n v="0"/>
    <n v="1"/>
  </r>
  <r>
    <x v="3"/>
    <x v="0"/>
    <x v="7"/>
    <x v="5"/>
    <x v="26"/>
    <x v="0"/>
    <x v="26"/>
    <n v="1435.27"/>
    <n v="1435.27"/>
    <n v="0"/>
    <n v="1"/>
  </r>
  <r>
    <x v="3"/>
    <x v="0"/>
    <x v="7"/>
    <x v="5"/>
    <x v="27"/>
    <x v="0"/>
    <x v="20"/>
    <n v="1840.96"/>
    <n v="1840.96"/>
    <n v="0"/>
    <n v="1"/>
  </r>
  <r>
    <x v="3"/>
    <x v="0"/>
    <x v="7"/>
    <x v="5"/>
    <x v="28"/>
    <x v="0"/>
    <x v="27"/>
    <n v="2239.85"/>
    <n v="2239.85"/>
    <n v="0"/>
    <n v="1"/>
  </r>
  <r>
    <x v="3"/>
    <x v="0"/>
    <x v="7"/>
    <x v="5"/>
    <x v="29"/>
    <x v="0"/>
    <x v="28"/>
    <n v="2289.7399999999998"/>
    <n v="2289.7399999999998"/>
    <n v="0"/>
    <n v="1"/>
  </r>
  <r>
    <x v="3"/>
    <x v="0"/>
    <x v="7"/>
    <x v="5"/>
    <x v="30"/>
    <x v="0"/>
    <x v="29"/>
    <n v="1433.26"/>
    <n v="1433.26"/>
    <n v="0"/>
    <n v="1"/>
  </r>
  <r>
    <x v="3"/>
    <x v="0"/>
    <x v="7"/>
    <x v="5"/>
    <x v="31"/>
    <x v="0"/>
    <x v="15"/>
    <n v="3425.23"/>
    <n v="3425.23"/>
    <n v="0"/>
    <n v="1"/>
  </r>
  <r>
    <x v="3"/>
    <x v="0"/>
    <x v="7"/>
    <x v="5"/>
    <x v="32"/>
    <x v="0"/>
    <x v="30"/>
    <n v="3416.86"/>
    <n v="3416.86"/>
    <n v="0"/>
    <n v="1"/>
  </r>
  <r>
    <x v="3"/>
    <x v="0"/>
    <x v="7"/>
    <x v="5"/>
    <x v="33"/>
    <x v="0"/>
    <x v="31"/>
    <n v="3242.37"/>
    <n v="3242.37"/>
    <n v="0"/>
    <n v="1"/>
  </r>
  <r>
    <x v="3"/>
    <x v="0"/>
    <x v="7"/>
    <x v="5"/>
    <x v="34"/>
    <x v="0"/>
    <x v="32"/>
    <n v="3191.76"/>
    <n v="3191.76"/>
    <n v="0"/>
    <n v="1"/>
  </r>
  <r>
    <x v="3"/>
    <x v="0"/>
    <x v="7"/>
    <x v="5"/>
    <x v="35"/>
    <x v="0"/>
    <x v="33"/>
    <n v="2922.14"/>
    <n v="2922.14"/>
    <n v="0"/>
    <n v="1"/>
  </r>
  <r>
    <x v="3"/>
    <x v="0"/>
    <x v="7"/>
    <x v="5"/>
    <x v="36"/>
    <x v="0"/>
    <x v="34"/>
    <n v="2900.54"/>
    <n v="2900.54"/>
    <n v="0"/>
    <n v="1"/>
  </r>
  <r>
    <x v="3"/>
    <x v="0"/>
    <x v="7"/>
    <x v="5"/>
    <x v="37"/>
    <x v="0"/>
    <x v="35"/>
    <n v="2883.71"/>
    <n v="2883.71"/>
    <n v="0"/>
    <n v="1"/>
  </r>
  <r>
    <x v="3"/>
    <x v="0"/>
    <x v="7"/>
    <x v="5"/>
    <x v="38"/>
    <x v="0"/>
    <x v="36"/>
    <n v="2848.63"/>
    <n v="2848.63"/>
    <n v="0"/>
    <n v="1"/>
  </r>
  <r>
    <x v="3"/>
    <x v="0"/>
    <x v="7"/>
    <x v="5"/>
    <x v="39"/>
    <x v="0"/>
    <x v="37"/>
    <n v="2736.89"/>
    <n v="2736.89"/>
    <n v="0"/>
    <n v="1"/>
  </r>
  <r>
    <x v="3"/>
    <x v="0"/>
    <x v="7"/>
    <x v="5"/>
    <x v="40"/>
    <x v="0"/>
    <x v="38"/>
    <n v="2722.74"/>
    <n v="2722.74"/>
    <n v="0"/>
    <n v="1"/>
  </r>
  <r>
    <x v="3"/>
    <x v="0"/>
    <x v="7"/>
    <x v="5"/>
    <x v="41"/>
    <x v="0"/>
    <x v="39"/>
    <n v="2670.48"/>
    <n v="2670.48"/>
    <n v="0"/>
    <n v="1"/>
  </r>
  <r>
    <x v="3"/>
    <x v="0"/>
    <x v="7"/>
    <x v="5"/>
    <x v="42"/>
    <x v="0"/>
    <x v="40"/>
    <n v="2669.5"/>
    <n v="2669.5"/>
    <n v="0"/>
    <n v="1"/>
  </r>
  <r>
    <x v="3"/>
    <x v="0"/>
    <x v="7"/>
    <x v="5"/>
    <x v="43"/>
    <x v="0"/>
    <x v="41"/>
    <n v="2634.31"/>
    <n v="2634.31"/>
    <n v="0"/>
    <n v="1"/>
  </r>
  <r>
    <x v="3"/>
    <x v="0"/>
    <x v="7"/>
    <x v="5"/>
    <x v="44"/>
    <x v="0"/>
    <x v="35"/>
    <n v="2471.04"/>
    <n v="2471.04"/>
    <n v="0"/>
    <n v="1"/>
  </r>
  <r>
    <x v="3"/>
    <x v="0"/>
    <x v="7"/>
    <x v="5"/>
    <x v="45"/>
    <x v="0"/>
    <x v="42"/>
    <n v="2396.46"/>
    <n v="2396.46"/>
    <n v="0"/>
    <n v="1"/>
  </r>
  <r>
    <x v="3"/>
    <x v="0"/>
    <x v="7"/>
    <x v="5"/>
    <x v="46"/>
    <x v="0"/>
    <x v="43"/>
    <n v="2350.7800000000002"/>
    <n v="2350.7800000000002"/>
    <n v="0"/>
    <n v="1"/>
  </r>
  <r>
    <x v="3"/>
    <x v="0"/>
    <x v="7"/>
    <x v="5"/>
    <x v="47"/>
    <x v="0"/>
    <x v="44"/>
    <n v="2317.2399999999998"/>
    <n v="2317.2399999999998"/>
    <n v="0"/>
    <n v="1"/>
  </r>
  <r>
    <x v="3"/>
    <x v="0"/>
    <x v="7"/>
    <x v="5"/>
    <x v="48"/>
    <x v="0"/>
    <x v="45"/>
    <n v="2274.7600000000002"/>
    <n v="2274.7600000000002"/>
    <n v="0"/>
    <n v="1"/>
  </r>
  <r>
    <x v="3"/>
    <x v="0"/>
    <x v="7"/>
    <x v="5"/>
    <x v="49"/>
    <x v="0"/>
    <x v="46"/>
    <n v="1331.34"/>
    <n v="1331.34"/>
    <n v="0"/>
    <n v="1"/>
  </r>
  <r>
    <x v="3"/>
    <x v="0"/>
    <x v="7"/>
    <x v="5"/>
    <x v="50"/>
    <x v="0"/>
    <x v="47"/>
    <n v="1255.5"/>
    <n v="1255.5"/>
    <n v="0"/>
    <n v="1"/>
  </r>
  <r>
    <x v="3"/>
    <x v="0"/>
    <x v="7"/>
    <x v="5"/>
    <x v="51"/>
    <x v="0"/>
    <x v="48"/>
    <n v="3480.97"/>
    <n v="3480.97"/>
    <n v="0"/>
    <n v="1"/>
  </r>
  <r>
    <x v="3"/>
    <x v="0"/>
    <x v="7"/>
    <x v="5"/>
    <x v="52"/>
    <x v="6"/>
    <x v="49"/>
    <n v="-2632.26"/>
    <n v="-2632.26"/>
    <n v="0"/>
    <n v="1"/>
  </r>
  <r>
    <x v="3"/>
    <x v="0"/>
    <x v="7"/>
    <x v="5"/>
    <x v="53"/>
    <x v="6"/>
    <x v="50"/>
    <n v="-2720"/>
    <n v="-2720"/>
    <n v="0"/>
    <n v="1"/>
  </r>
  <r>
    <x v="3"/>
    <x v="0"/>
    <x v="7"/>
    <x v="5"/>
    <x v="54"/>
    <x v="6"/>
    <x v="51"/>
    <n v="-2785.81"/>
    <n v="-2785.81"/>
    <n v="0"/>
    <n v="1"/>
  </r>
  <r>
    <x v="3"/>
    <x v="0"/>
    <x v="7"/>
    <x v="5"/>
    <x v="55"/>
    <x v="6"/>
    <x v="52"/>
    <n v="-3400"/>
    <n v="-3400"/>
    <n v="0"/>
    <n v="1"/>
  </r>
  <r>
    <x v="3"/>
    <x v="0"/>
    <x v="7"/>
    <x v="5"/>
    <x v="56"/>
    <x v="6"/>
    <x v="53"/>
    <n v="-4080"/>
    <n v="-4080"/>
    <n v="0"/>
    <n v="1"/>
  </r>
  <r>
    <x v="3"/>
    <x v="0"/>
    <x v="7"/>
    <x v="5"/>
    <x v="57"/>
    <x v="6"/>
    <x v="54"/>
    <n v="-4672.26"/>
    <n v="-4672.26"/>
    <n v="0"/>
    <n v="1"/>
  </r>
  <r>
    <x v="3"/>
    <x v="0"/>
    <x v="7"/>
    <x v="5"/>
    <x v="58"/>
    <x v="6"/>
    <x v="55"/>
    <n v="-5595.2"/>
    <n v="-5595.2"/>
    <n v="0"/>
    <n v="1"/>
  </r>
  <r>
    <x v="3"/>
    <x v="0"/>
    <x v="7"/>
    <x v="5"/>
    <x v="59"/>
    <x v="6"/>
    <x v="56"/>
    <n v="-6800"/>
    <n v="-6800"/>
    <n v="0"/>
    <n v="1"/>
  </r>
  <r>
    <x v="3"/>
    <x v="0"/>
    <x v="7"/>
    <x v="5"/>
    <x v="60"/>
    <x v="6"/>
    <x v="57"/>
    <n v="-6800"/>
    <n v="-6800"/>
    <n v="0"/>
    <n v="1"/>
  </r>
  <r>
    <x v="3"/>
    <x v="0"/>
    <x v="7"/>
    <x v="5"/>
    <x v="61"/>
    <x v="6"/>
    <x v="58"/>
    <n v="-7382.22"/>
    <n v="-7382.22"/>
    <n v="0"/>
    <n v="1"/>
  </r>
  <r>
    <x v="3"/>
    <x v="0"/>
    <x v="7"/>
    <x v="5"/>
    <x v="62"/>
    <x v="6"/>
    <x v="59"/>
    <n v="-8054"/>
    <n v="-8054"/>
    <n v="0"/>
    <n v="1"/>
  </r>
  <r>
    <x v="3"/>
    <x v="0"/>
    <x v="7"/>
    <x v="5"/>
    <x v="63"/>
    <x v="6"/>
    <x v="60"/>
    <n v="-8879.7199999999993"/>
    <n v="-8879.7199999999993"/>
    <n v="0"/>
    <n v="1"/>
  </r>
  <r>
    <x v="3"/>
    <x v="0"/>
    <x v="7"/>
    <x v="5"/>
    <x v="64"/>
    <x v="6"/>
    <x v="61"/>
    <n v="-13256.49"/>
    <n v="-13256.49"/>
    <n v="0"/>
    <n v="1"/>
  </r>
  <r>
    <x v="3"/>
    <x v="0"/>
    <x v="7"/>
    <x v="5"/>
    <x v="65"/>
    <x v="6"/>
    <x v="62"/>
    <n v="-14597.57"/>
    <n v="-14597.57"/>
    <n v="0"/>
    <n v="1"/>
  </r>
  <r>
    <x v="3"/>
    <x v="0"/>
    <x v="7"/>
    <x v="5"/>
    <x v="66"/>
    <x v="6"/>
    <x v="63"/>
    <n v="-20224.52"/>
    <n v="-20224.52"/>
    <n v="0"/>
    <n v="1"/>
  </r>
  <r>
    <x v="3"/>
    <x v="0"/>
    <x v="7"/>
    <x v="5"/>
    <x v="67"/>
    <x v="6"/>
    <x v="64"/>
    <n v="-24102.16"/>
    <n v="-24102.16"/>
    <n v="0"/>
    <n v="1"/>
  </r>
  <r>
    <x v="3"/>
    <x v="0"/>
    <x v="7"/>
    <x v="5"/>
    <x v="68"/>
    <x v="6"/>
    <x v="65"/>
    <n v="-35735.46"/>
    <n v="-35735.46"/>
    <n v="0"/>
    <n v="1"/>
  </r>
  <r>
    <x v="3"/>
    <x v="0"/>
    <x v="7"/>
    <x v="5"/>
    <x v="69"/>
    <x v="6"/>
    <x v="66"/>
    <n v="-2040"/>
    <n v="-2040"/>
    <n v="0"/>
    <n v="1"/>
  </r>
  <r>
    <x v="3"/>
    <x v="0"/>
    <x v="7"/>
    <x v="5"/>
    <x v="70"/>
    <x v="6"/>
    <x v="67"/>
    <n v="-2040"/>
    <n v="-2040"/>
    <n v="0"/>
    <n v="1"/>
  </r>
  <r>
    <x v="3"/>
    <x v="0"/>
    <x v="7"/>
    <x v="5"/>
    <x v="71"/>
    <x v="6"/>
    <x v="68"/>
    <n v="-2040"/>
    <n v="-2040"/>
    <n v="0"/>
    <n v="1"/>
  </r>
  <r>
    <x v="3"/>
    <x v="0"/>
    <x v="7"/>
    <x v="5"/>
    <x v="72"/>
    <x v="6"/>
    <x v="69"/>
    <n v="-1360"/>
    <n v="-1360"/>
    <n v="0"/>
    <n v="1"/>
  </r>
  <r>
    <x v="3"/>
    <x v="0"/>
    <x v="7"/>
    <x v="5"/>
    <x v="73"/>
    <x v="0"/>
    <x v="70"/>
    <n v="1220.03"/>
    <n v="1220.03"/>
    <n v="0"/>
    <n v="1"/>
  </r>
  <r>
    <x v="3"/>
    <x v="0"/>
    <x v="7"/>
    <x v="5"/>
    <x v="74"/>
    <x v="0"/>
    <x v="71"/>
    <n v="1199.9100000000001"/>
    <n v="1199.9100000000001"/>
    <n v="0"/>
    <n v="1"/>
  </r>
  <r>
    <x v="3"/>
    <x v="0"/>
    <x v="7"/>
    <x v="5"/>
    <x v="75"/>
    <x v="0"/>
    <x v="72"/>
    <n v="1129.1600000000001"/>
    <n v="1129.1600000000001"/>
    <n v="0"/>
    <n v="1"/>
  </r>
  <r>
    <x v="3"/>
    <x v="0"/>
    <x v="7"/>
    <x v="5"/>
    <x v="76"/>
    <x v="0"/>
    <x v="73"/>
    <n v="1115.26"/>
    <n v="1115.26"/>
    <n v="0"/>
    <n v="1"/>
  </r>
  <r>
    <x v="3"/>
    <x v="0"/>
    <x v="7"/>
    <x v="5"/>
    <x v="77"/>
    <x v="0"/>
    <x v="74"/>
    <n v="1084.6400000000001"/>
    <n v="1084.6400000000001"/>
    <n v="0"/>
    <n v="1"/>
  </r>
  <r>
    <x v="3"/>
    <x v="0"/>
    <x v="7"/>
    <x v="5"/>
    <x v="78"/>
    <x v="0"/>
    <x v="75"/>
    <n v="1045.19"/>
    <n v="1045.19"/>
    <n v="0"/>
    <n v="1"/>
  </r>
  <r>
    <x v="3"/>
    <x v="0"/>
    <x v="7"/>
    <x v="5"/>
    <x v="79"/>
    <x v="0"/>
    <x v="76"/>
    <n v="998.02"/>
    <n v="998.02"/>
    <n v="0"/>
    <n v="1"/>
  </r>
  <r>
    <x v="3"/>
    <x v="0"/>
    <x v="7"/>
    <x v="5"/>
    <x v="80"/>
    <x v="0"/>
    <x v="77"/>
    <n v="951.4"/>
    <n v="951.4"/>
    <n v="0"/>
    <n v="1"/>
  </r>
  <r>
    <x v="3"/>
    <x v="0"/>
    <x v="7"/>
    <x v="5"/>
    <x v="81"/>
    <x v="0"/>
    <x v="78"/>
    <n v="1259.6400000000001"/>
    <n v="1259.6400000000001"/>
    <n v="0"/>
    <n v="1"/>
  </r>
  <r>
    <x v="3"/>
    <x v="0"/>
    <x v="7"/>
    <x v="5"/>
    <x v="82"/>
    <x v="0"/>
    <x v="79"/>
    <n v="946.88"/>
    <n v="946.88"/>
    <n v="0"/>
    <n v="1"/>
  </r>
  <r>
    <x v="3"/>
    <x v="0"/>
    <x v="7"/>
    <x v="5"/>
    <x v="83"/>
    <x v="0"/>
    <x v="80"/>
    <n v="814.52"/>
    <n v="814.52"/>
    <n v="0"/>
    <n v="1"/>
  </r>
  <r>
    <x v="3"/>
    <x v="0"/>
    <x v="7"/>
    <x v="5"/>
    <x v="84"/>
    <x v="0"/>
    <x v="81"/>
    <n v="652.79999999999995"/>
    <n v="652.79999999999995"/>
    <n v="0"/>
    <n v="1"/>
  </r>
  <r>
    <x v="3"/>
    <x v="0"/>
    <x v="7"/>
    <x v="5"/>
    <x v="85"/>
    <x v="0"/>
    <x v="82"/>
    <n v="601.16"/>
    <n v="601.16"/>
    <n v="0"/>
    <n v="1"/>
  </r>
  <r>
    <x v="3"/>
    <x v="0"/>
    <x v="7"/>
    <x v="5"/>
    <x v="86"/>
    <x v="0"/>
    <x v="80"/>
    <n v="594.25"/>
    <n v="594.25"/>
    <n v="0"/>
    <n v="1"/>
  </r>
  <r>
    <x v="3"/>
    <x v="0"/>
    <x v="7"/>
    <x v="5"/>
    <x v="87"/>
    <x v="0"/>
    <x v="83"/>
    <n v="460.98"/>
    <n v="460.98"/>
    <n v="0"/>
    <n v="1"/>
  </r>
  <r>
    <x v="3"/>
    <x v="0"/>
    <x v="7"/>
    <x v="5"/>
    <x v="88"/>
    <x v="0"/>
    <x v="84"/>
    <n v="409.34"/>
    <n v="409.34"/>
    <n v="0"/>
    <n v="1"/>
  </r>
  <r>
    <x v="3"/>
    <x v="0"/>
    <x v="7"/>
    <x v="5"/>
    <x v="89"/>
    <x v="0"/>
    <x v="19"/>
    <n v="399.36"/>
    <n v="399.36"/>
    <n v="0"/>
    <n v="1"/>
  </r>
  <r>
    <x v="3"/>
    <x v="0"/>
    <x v="7"/>
    <x v="5"/>
    <x v="90"/>
    <x v="6"/>
    <x v="85"/>
    <n v="-1360"/>
    <n v="-1360"/>
    <n v="0"/>
    <n v="1"/>
  </r>
  <r>
    <x v="3"/>
    <x v="0"/>
    <x v="7"/>
    <x v="5"/>
    <x v="91"/>
    <x v="0"/>
    <x v="86"/>
    <n v="943"/>
    <n v="943"/>
    <n v="0"/>
    <n v="1"/>
  </r>
  <r>
    <x v="3"/>
    <x v="0"/>
    <x v="7"/>
    <x v="5"/>
    <x v="92"/>
    <x v="0"/>
    <x v="87"/>
    <n v="3792.45"/>
    <n v="3792.45"/>
    <n v="0"/>
    <n v="1"/>
  </r>
  <r>
    <x v="3"/>
    <x v="0"/>
    <x v="7"/>
    <x v="5"/>
    <x v="93"/>
    <x v="0"/>
    <x v="88"/>
    <n v="880.74"/>
    <n v="880.74"/>
    <n v="0"/>
    <n v="1"/>
  </r>
  <r>
    <x v="3"/>
    <x v="0"/>
    <x v="7"/>
    <x v="5"/>
    <x v="94"/>
    <x v="0"/>
    <x v="89"/>
    <n v="3854.08"/>
    <n v="3854.08"/>
    <n v="0"/>
    <n v="1"/>
  </r>
  <r>
    <x v="3"/>
    <x v="0"/>
    <x v="7"/>
    <x v="5"/>
    <x v="95"/>
    <x v="0"/>
    <x v="90"/>
    <n v="6863.17"/>
    <n v="6863.17"/>
    <n v="0"/>
    <n v="1"/>
  </r>
  <r>
    <x v="3"/>
    <x v="0"/>
    <x v="7"/>
    <x v="5"/>
    <x v="96"/>
    <x v="0"/>
    <x v="91"/>
    <n v="8234.57"/>
    <n v="8234.57"/>
    <n v="0"/>
    <n v="1"/>
  </r>
  <r>
    <x v="3"/>
    <x v="0"/>
    <x v="7"/>
    <x v="5"/>
    <x v="97"/>
    <x v="0"/>
    <x v="92"/>
    <n v="8639.2999999999993"/>
    <n v="8639.2999999999993"/>
    <n v="0"/>
    <n v="1"/>
  </r>
  <r>
    <x v="3"/>
    <x v="0"/>
    <x v="7"/>
    <x v="5"/>
    <x v="98"/>
    <x v="0"/>
    <x v="90"/>
    <n v="6331.52"/>
    <n v="6331.52"/>
    <n v="0"/>
    <n v="1"/>
  </r>
  <r>
    <x v="3"/>
    <x v="0"/>
    <x v="7"/>
    <x v="5"/>
    <x v="99"/>
    <x v="0"/>
    <x v="93"/>
    <n v="8208.17"/>
    <n v="8208.17"/>
    <n v="0"/>
    <n v="1"/>
  </r>
  <r>
    <x v="3"/>
    <x v="0"/>
    <x v="7"/>
    <x v="5"/>
    <x v="100"/>
    <x v="0"/>
    <x v="94"/>
    <n v="7990.29"/>
    <n v="7990.29"/>
    <n v="0"/>
    <n v="1"/>
  </r>
  <r>
    <x v="3"/>
    <x v="0"/>
    <x v="7"/>
    <x v="5"/>
    <x v="101"/>
    <x v="0"/>
    <x v="95"/>
    <n v="7752.99"/>
    <n v="7752.99"/>
    <n v="0"/>
    <n v="1"/>
  </r>
  <r>
    <x v="3"/>
    <x v="0"/>
    <x v="7"/>
    <x v="5"/>
    <x v="102"/>
    <x v="0"/>
    <x v="96"/>
    <n v="2278.91"/>
    <n v="2278.91"/>
    <n v="0"/>
    <n v="1"/>
  </r>
  <r>
    <x v="3"/>
    <x v="0"/>
    <x v="7"/>
    <x v="5"/>
    <x v="103"/>
    <x v="0"/>
    <x v="37"/>
    <n v="7480.18"/>
    <n v="7480.18"/>
    <n v="0"/>
    <n v="1"/>
  </r>
  <r>
    <x v="3"/>
    <x v="0"/>
    <x v="7"/>
    <x v="5"/>
    <x v="104"/>
    <x v="0"/>
    <x v="0"/>
    <n v="7427.49"/>
    <n v="7427.49"/>
    <n v="0"/>
    <n v="1"/>
  </r>
  <r>
    <x v="3"/>
    <x v="0"/>
    <x v="7"/>
    <x v="5"/>
    <x v="105"/>
    <x v="0"/>
    <x v="97"/>
    <n v="7241.21"/>
    <n v="7241.21"/>
    <n v="0"/>
    <n v="1"/>
  </r>
  <r>
    <x v="3"/>
    <x v="0"/>
    <x v="7"/>
    <x v="5"/>
    <x v="106"/>
    <x v="0"/>
    <x v="98"/>
    <n v="6912.02"/>
    <n v="6912.02"/>
    <n v="0"/>
    <n v="1"/>
  </r>
  <r>
    <x v="3"/>
    <x v="0"/>
    <x v="7"/>
    <x v="5"/>
    <x v="107"/>
    <x v="0"/>
    <x v="99"/>
    <n v="6842.18"/>
    <n v="6842.18"/>
    <n v="0"/>
    <n v="1"/>
  </r>
  <r>
    <x v="3"/>
    <x v="0"/>
    <x v="7"/>
    <x v="5"/>
    <x v="108"/>
    <x v="0"/>
    <x v="100"/>
    <n v="6744.76"/>
    <n v="6744.76"/>
    <n v="0"/>
    <n v="1"/>
  </r>
  <r>
    <x v="3"/>
    <x v="0"/>
    <x v="7"/>
    <x v="5"/>
    <x v="109"/>
    <x v="0"/>
    <x v="13"/>
    <n v="6324.35"/>
    <n v="6324.35"/>
    <n v="0"/>
    <n v="1"/>
  </r>
  <r>
    <x v="3"/>
    <x v="0"/>
    <x v="7"/>
    <x v="5"/>
    <x v="110"/>
    <x v="0"/>
    <x v="101"/>
    <n v="6124.62"/>
    <n v="6124.62"/>
    <n v="0"/>
    <n v="1"/>
  </r>
  <r>
    <x v="3"/>
    <x v="0"/>
    <x v="7"/>
    <x v="5"/>
    <x v="111"/>
    <x v="0"/>
    <x v="102"/>
    <n v="5837.79"/>
    <n v="5837.79"/>
    <n v="0"/>
    <n v="1"/>
  </r>
  <r>
    <x v="3"/>
    <x v="0"/>
    <x v="7"/>
    <x v="5"/>
    <x v="112"/>
    <x v="0"/>
    <x v="103"/>
    <n v="8988.33"/>
    <n v="8988.33"/>
    <n v="0"/>
    <n v="1"/>
  </r>
  <r>
    <x v="3"/>
    <x v="0"/>
    <x v="7"/>
    <x v="5"/>
    <x v="113"/>
    <x v="0"/>
    <x v="45"/>
    <n v="7242.99"/>
    <n v="7242.99"/>
    <n v="0"/>
    <n v="1"/>
  </r>
  <r>
    <x v="3"/>
    <x v="0"/>
    <x v="7"/>
    <x v="5"/>
    <x v="114"/>
    <x v="0"/>
    <x v="104"/>
    <n v="9024.32"/>
    <n v="9024.32"/>
    <n v="0"/>
    <n v="1"/>
  </r>
  <r>
    <x v="3"/>
    <x v="0"/>
    <x v="7"/>
    <x v="5"/>
    <x v="115"/>
    <x v="0"/>
    <x v="92"/>
    <n v="5522.38"/>
    <n v="5522.38"/>
    <n v="0"/>
    <n v="1"/>
  </r>
  <r>
    <x v="3"/>
    <x v="0"/>
    <x v="7"/>
    <x v="5"/>
    <x v="116"/>
    <x v="0"/>
    <x v="93"/>
    <n v="18259.47"/>
    <n v="18259.47"/>
    <n v="0"/>
    <n v="1"/>
  </r>
  <r>
    <x v="3"/>
    <x v="0"/>
    <x v="7"/>
    <x v="5"/>
    <x v="117"/>
    <x v="0"/>
    <x v="40"/>
    <n v="3188.41"/>
    <n v="3188.41"/>
    <n v="0"/>
    <n v="1"/>
  </r>
  <r>
    <x v="3"/>
    <x v="0"/>
    <x v="7"/>
    <x v="5"/>
    <x v="118"/>
    <x v="0"/>
    <x v="105"/>
    <n v="16573.32"/>
    <n v="16573.32"/>
    <n v="0"/>
    <n v="1"/>
  </r>
  <r>
    <x v="3"/>
    <x v="0"/>
    <x v="7"/>
    <x v="5"/>
    <x v="119"/>
    <x v="0"/>
    <x v="106"/>
    <n v="15687"/>
    <n v="15687"/>
    <n v="0"/>
    <n v="1"/>
  </r>
  <r>
    <x v="3"/>
    <x v="0"/>
    <x v="7"/>
    <x v="5"/>
    <x v="120"/>
    <x v="0"/>
    <x v="107"/>
    <n v="14976.54"/>
    <n v="14976.54"/>
    <n v="0"/>
    <n v="1"/>
  </r>
  <r>
    <x v="3"/>
    <x v="0"/>
    <x v="7"/>
    <x v="5"/>
    <x v="121"/>
    <x v="0"/>
    <x v="108"/>
    <n v="5422.29"/>
    <n v="5422.29"/>
    <n v="0"/>
    <n v="1"/>
  </r>
  <r>
    <x v="3"/>
    <x v="0"/>
    <x v="7"/>
    <x v="5"/>
    <x v="122"/>
    <x v="0"/>
    <x v="97"/>
    <n v="13749.5"/>
    <n v="13749.5"/>
    <n v="0"/>
    <n v="1"/>
  </r>
  <r>
    <x v="3"/>
    <x v="0"/>
    <x v="7"/>
    <x v="5"/>
    <x v="123"/>
    <x v="0"/>
    <x v="109"/>
    <n v="12235.75"/>
    <n v="12235.75"/>
    <n v="0"/>
    <n v="1"/>
  </r>
  <r>
    <x v="3"/>
    <x v="0"/>
    <x v="7"/>
    <x v="5"/>
    <x v="124"/>
    <x v="0"/>
    <x v="110"/>
    <n v="5334.15"/>
    <n v="5334.15"/>
    <n v="0"/>
    <n v="1"/>
  </r>
  <r>
    <x v="3"/>
    <x v="0"/>
    <x v="7"/>
    <x v="5"/>
    <x v="125"/>
    <x v="0"/>
    <x v="111"/>
    <n v="12187.98"/>
    <n v="12187.98"/>
    <n v="0"/>
    <n v="1"/>
  </r>
  <r>
    <x v="3"/>
    <x v="0"/>
    <x v="7"/>
    <x v="5"/>
    <x v="126"/>
    <x v="0"/>
    <x v="112"/>
    <n v="11271.58"/>
    <n v="11271.58"/>
    <n v="0"/>
    <n v="1"/>
  </r>
  <r>
    <x v="3"/>
    <x v="0"/>
    <x v="7"/>
    <x v="5"/>
    <x v="127"/>
    <x v="0"/>
    <x v="113"/>
    <n v="8589.75"/>
    <n v="8589.75"/>
    <n v="0"/>
    <n v="1"/>
  </r>
  <r>
    <x v="3"/>
    <x v="0"/>
    <x v="7"/>
    <x v="5"/>
    <x v="128"/>
    <x v="0"/>
    <x v="112"/>
    <n v="10555.87"/>
    <n v="10555.87"/>
    <n v="0"/>
    <n v="1"/>
  </r>
  <r>
    <x v="3"/>
    <x v="0"/>
    <x v="7"/>
    <x v="5"/>
    <x v="129"/>
    <x v="0"/>
    <x v="13"/>
    <n v="3554.69"/>
    <n v="3554.69"/>
    <n v="0"/>
    <n v="1"/>
  </r>
  <r>
    <x v="3"/>
    <x v="0"/>
    <x v="7"/>
    <x v="5"/>
    <x v="130"/>
    <x v="0"/>
    <x v="89"/>
    <n v="9947.07"/>
    <n v="9947.07"/>
    <n v="0"/>
    <n v="1"/>
  </r>
  <r>
    <x v="3"/>
    <x v="0"/>
    <x v="7"/>
    <x v="5"/>
    <x v="131"/>
    <x v="0"/>
    <x v="101"/>
    <n v="8830.16"/>
    <n v="8830.16"/>
    <n v="0"/>
    <n v="1"/>
  </r>
  <r>
    <x v="3"/>
    <x v="0"/>
    <x v="7"/>
    <x v="5"/>
    <x v="132"/>
    <x v="0"/>
    <x v="92"/>
    <n v="9677.59"/>
    <n v="9677.59"/>
    <n v="0"/>
    <n v="1"/>
  </r>
  <r>
    <x v="3"/>
    <x v="0"/>
    <x v="7"/>
    <x v="5"/>
    <x v="133"/>
    <x v="0"/>
    <x v="91"/>
    <n v="9286.16"/>
    <n v="9286.16"/>
    <n v="0"/>
    <n v="1"/>
  </r>
  <r>
    <x v="3"/>
    <x v="0"/>
    <x v="7"/>
    <x v="5"/>
    <x v="134"/>
    <x v="0"/>
    <x v="108"/>
    <n v="11885.74"/>
    <n v="11885.74"/>
    <n v="0"/>
    <n v="1"/>
  </r>
  <r>
    <x v="3"/>
    <x v="0"/>
    <x v="7"/>
    <x v="5"/>
    <x v="135"/>
    <x v="0"/>
    <x v="105"/>
    <n v="5109.1000000000004"/>
    <n v="5109.1000000000004"/>
    <n v="0"/>
    <n v="1"/>
  </r>
  <r>
    <x v="3"/>
    <x v="0"/>
    <x v="7"/>
    <x v="5"/>
    <x v="136"/>
    <x v="0"/>
    <x v="114"/>
    <n v="13979"/>
    <n v="13979"/>
    <n v="0"/>
    <n v="1"/>
  </r>
  <r>
    <x v="3"/>
    <x v="0"/>
    <x v="7"/>
    <x v="5"/>
    <x v="137"/>
    <x v="0"/>
    <x v="115"/>
    <n v="4696.46"/>
    <n v="4696.46"/>
    <n v="0"/>
    <n v="1"/>
  </r>
  <r>
    <x v="3"/>
    <x v="0"/>
    <x v="7"/>
    <x v="5"/>
    <x v="138"/>
    <x v="0"/>
    <x v="116"/>
    <n v="4224.7"/>
    <n v="4224.7"/>
    <n v="0"/>
    <n v="1"/>
  </r>
  <r>
    <x v="3"/>
    <x v="0"/>
    <x v="7"/>
    <x v="5"/>
    <x v="139"/>
    <x v="0"/>
    <x v="117"/>
    <n v="4838.37"/>
    <n v="4838.37"/>
    <n v="0"/>
    <n v="1"/>
  </r>
  <r>
    <x v="3"/>
    <x v="0"/>
    <x v="7"/>
    <x v="5"/>
    <x v="140"/>
    <x v="0"/>
    <x v="118"/>
    <n v="4266.51"/>
    <n v="4266.51"/>
    <n v="0"/>
    <n v="1"/>
  </r>
  <r>
    <x v="3"/>
    <x v="0"/>
    <x v="7"/>
    <x v="5"/>
    <x v="141"/>
    <x v="0"/>
    <x v="119"/>
    <n v="785.59"/>
    <n v="785.59"/>
    <n v="0"/>
    <n v="1"/>
  </r>
  <r>
    <x v="3"/>
    <x v="0"/>
    <x v="7"/>
    <x v="5"/>
    <x v="142"/>
    <x v="0"/>
    <x v="120"/>
    <n v="5034.75"/>
    <n v="5034.75"/>
    <n v="0"/>
    <n v="1"/>
  </r>
  <r>
    <x v="3"/>
    <x v="0"/>
    <x v="7"/>
    <x v="5"/>
    <x v="143"/>
    <x v="0"/>
    <x v="121"/>
    <n v="4032.64"/>
    <n v="4032.64"/>
    <n v="0"/>
    <n v="1"/>
  </r>
  <r>
    <x v="3"/>
    <x v="0"/>
    <x v="7"/>
    <x v="5"/>
    <x v="144"/>
    <x v="0"/>
    <x v="122"/>
    <n v="4811"/>
    <n v="4811"/>
    <n v="0"/>
    <n v="1"/>
  </r>
  <r>
    <x v="3"/>
    <x v="0"/>
    <x v="7"/>
    <x v="5"/>
    <x v="145"/>
    <x v="0"/>
    <x v="123"/>
    <n v="4688.51"/>
    <n v="4688.51"/>
    <n v="0"/>
    <n v="1"/>
  </r>
  <r>
    <x v="3"/>
    <x v="0"/>
    <x v="7"/>
    <x v="5"/>
    <x v="146"/>
    <x v="0"/>
    <x v="40"/>
    <n v="4541.5600000000004"/>
    <n v="4541.5600000000004"/>
    <n v="0"/>
    <n v="1"/>
  </r>
  <r>
    <x v="3"/>
    <x v="0"/>
    <x v="7"/>
    <x v="5"/>
    <x v="147"/>
    <x v="0"/>
    <x v="124"/>
    <n v="5087.1099999999997"/>
    <n v="5087.1099999999997"/>
    <n v="0"/>
    <n v="1"/>
  </r>
  <r>
    <x v="3"/>
    <x v="2"/>
    <x v="8"/>
    <x v="6"/>
    <x v="148"/>
    <x v="5"/>
    <x v="125"/>
    <n v="8894.1200000000008"/>
    <n v="8894.1200000000008"/>
    <n v="0"/>
    <n v="1"/>
  </r>
  <r>
    <x v="3"/>
    <x v="0"/>
    <x v="8"/>
    <x v="6"/>
    <x v="149"/>
    <x v="0"/>
    <x v="126"/>
    <n v="155.09"/>
    <n v="155.09"/>
    <n v="0"/>
    <n v="1"/>
  </r>
  <r>
    <x v="3"/>
    <x v="0"/>
    <x v="8"/>
    <x v="6"/>
    <x v="150"/>
    <x v="0"/>
    <x v="109"/>
    <n v="1189.23"/>
    <n v="1189.23"/>
    <n v="0"/>
    <n v="1"/>
  </r>
  <r>
    <x v="3"/>
    <x v="0"/>
    <x v="8"/>
    <x v="6"/>
    <x v="151"/>
    <x v="0"/>
    <x v="127"/>
    <n v="1066.1099999999999"/>
    <n v="1066.1099999999999"/>
    <n v="0"/>
    <n v="1"/>
  </r>
  <r>
    <x v="3"/>
    <x v="0"/>
    <x v="8"/>
    <x v="6"/>
    <x v="152"/>
    <x v="0"/>
    <x v="128"/>
    <n v="1013.62"/>
    <n v="1013.62"/>
    <n v="0"/>
    <n v="1"/>
  </r>
  <r>
    <x v="3"/>
    <x v="0"/>
    <x v="8"/>
    <x v="6"/>
    <x v="153"/>
    <x v="6"/>
    <x v="129"/>
    <n v="-17525.02"/>
    <n v="-17525.02"/>
    <n v="0"/>
    <n v="1"/>
  </r>
  <r>
    <x v="3"/>
    <x v="0"/>
    <x v="8"/>
    <x v="6"/>
    <x v="154"/>
    <x v="6"/>
    <x v="130"/>
    <n v="-15877.2"/>
    <n v="-15877.2"/>
    <n v="0"/>
    <n v="1"/>
  </r>
  <r>
    <x v="3"/>
    <x v="0"/>
    <x v="8"/>
    <x v="6"/>
    <x v="155"/>
    <x v="6"/>
    <x v="131"/>
    <n v="-13751.98"/>
    <n v="-13751.98"/>
    <n v="0"/>
    <n v="1"/>
  </r>
  <r>
    <x v="3"/>
    <x v="0"/>
    <x v="8"/>
    <x v="6"/>
    <x v="156"/>
    <x v="0"/>
    <x v="88"/>
    <n v="990.63"/>
    <n v="990.63"/>
    <n v="0"/>
    <n v="1"/>
  </r>
  <r>
    <x v="3"/>
    <x v="0"/>
    <x v="8"/>
    <x v="6"/>
    <x v="157"/>
    <x v="0"/>
    <x v="132"/>
    <n v="974.26"/>
    <n v="974.26"/>
    <n v="0"/>
    <n v="1"/>
  </r>
  <r>
    <x v="3"/>
    <x v="0"/>
    <x v="8"/>
    <x v="6"/>
    <x v="158"/>
    <x v="6"/>
    <x v="133"/>
    <n v="-8014.5"/>
    <n v="-8014.5"/>
    <n v="0"/>
    <n v="1"/>
  </r>
  <r>
    <x v="3"/>
    <x v="0"/>
    <x v="8"/>
    <x v="6"/>
    <x v="159"/>
    <x v="0"/>
    <x v="134"/>
    <n v="4546.72"/>
    <n v="4546.72"/>
    <n v="0"/>
    <n v="1"/>
  </r>
  <r>
    <x v="3"/>
    <x v="0"/>
    <x v="8"/>
    <x v="6"/>
    <x v="160"/>
    <x v="0"/>
    <x v="135"/>
    <n v="735.54"/>
    <n v="735.54"/>
    <n v="0"/>
    <n v="1"/>
  </r>
  <r>
    <x v="3"/>
    <x v="0"/>
    <x v="8"/>
    <x v="6"/>
    <x v="161"/>
    <x v="0"/>
    <x v="47"/>
    <n v="702.85"/>
    <n v="702.85"/>
    <n v="0"/>
    <n v="1"/>
  </r>
  <r>
    <x v="3"/>
    <x v="0"/>
    <x v="8"/>
    <x v="6"/>
    <x v="162"/>
    <x v="0"/>
    <x v="136"/>
    <n v="658.12"/>
    <n v="658.12"/>
    <n v="0"/>
    <n v="1"/>
  </r>
  <r>
    <x v="3"/>
    <x v="0"/>
    <x v="8"/>
    <x v="6"/>
    <x v="163"/>
    <x v="0"/>
    <x v="137"/>
    <n v="1224.94"/>
    <n v="1224.94"/>
    <n v="0"/>
    <n v="1"/>
  </r>
  <r>
    <x v="3"/>
    <x v="0"/>
    <x v="8"/>
    <x v="6"/>
    <x v="164"/>
    <x v="0"/>
    <x v="138"/>
    <n v="649"/>
    <n v="649"/>
    <n v="0"/>
    <n v="1"/>
  </r>
  <r>
    <x v="3"/>
    <x v="0"/>
    <x v="8"/>
    <x v="6"/>
    <x v="165"/>
    <x v="6"/>
    <x v="139"/>
    <n v="-6485.52"/>
    <n v="-6485.52"/>
    <n v="0"/>
    <n v="1"/>
  </r>
  <r>
    <x v="3"/>
    <x v="0"/>
    <x v="8"/>
    <x v="6"/>
    <x v="166"/>
    <x v="0"/>
    <x v="140"/>
    <n v="599.04"/>
    <n v="599.04"/>
    <n v="0"/>
    <n v="1"/>
  </r>
  <r>
    <x v="3"/>
    <x v="0"/>
    <x v="8"/>
    <x v="6"/>
    <x v="167"/>
    <x v="0"/>
    <x v="141"/>
    <n v="577.77"/>
    <n v="577.77"/>
    <n v="0"/>
    <n v="1"/>
  </r>
  <r>
    <x v="3"/>
    <x v="0"/>
    <x v="8"/>
    <x v="6"/>
    <x v="168"/>
    <x v="6"/>
    <x v="142"/>
    <n v="-6329.67"/>
    <n v="-6329.67"/>
    <n v="0"/>
    <n v="1"/>
  </r>
  <r>
    <x v="3"/>
    <x v="0"/>
    <x v="8"/>
    <x v="6"/>
    <x v="169"/>
    <x v="0"/>
    <x v="143"/>
    <n v="1246.27"/>
    <n v="1246.27"/>
    <n v="0"/>
    <n v="1"/>
  </r>
  <r>
    <x v="3"/>
    <x v="0"/>
    <x v="8"/>
    <x v="6"/>
    <x v="170"/>
    <x v="0"/>
    <x v="144"/>
    <n v="1253.78"/>
    <n v="1253.78"/>
    <n v="0"/>
    <n v="1"/>
  </r>
  <r>
    <x v="3"/>
    <x v="0"/>
    <x v="8"/>
    <x v="6"/>
    <x v="171"/>
    <x v="6"/>
    <x v="145"/>
    <n v="-37982.26"/>
    <n v="-37982.26"/>
    <n v="0"/>
    <n v="1"/>
  </r>
  <r>
    <x v="3"/>
    <x v="0"/>
    <x v="8"/>
    <x v="6"/>
    <x v="172"/>
    <x v="0"/>
    <x v="146"/>
    <n v="5455.14"/>
    <n v="5455.14"/>
    <n v="0"/>
    <n v="1"/>
  </r>
  <r>
    <x v="3"/>
    <x v="0"/>
    <x v="8"/>
    <x v="6"/>
    <x v="173"/>
    <x v="0"/>
    <x v="113"/>
    <n v="4449.0600000000004"/>
    <n v="4449.0600000000004"/>
    <n v="0"/>
    <n v="1"/>
  </r>
  <r>
    <x v="3"/>
    <x v="0"/>
    <x v="8"/>
    <x v="6"/>
    <x v="174"/>
    <x v="0"/>
    <x v="147"/>
    <n v="4082.99"/>
    <n v="4082.99"/>
    <n v="0"/>
    <n v="1"/>
  </r>
  <r>
    <x v="3"/>
    <x v="0"/>
    <x v="8"/>
    <x v="6"/>
    <x v="175"/>
    <x v="0"/>
    <x v="148"/>
    <n v="6210.21"/>
    <n v="6210.21"/>
    <n v="0"/>
    <n v="1"/>
  </r>
  <r>
    <x v="3"/>
    <x v="0"/>
    <x v="8"/>
    <x v="6"/>
    <x v="176"/>
    <x v="0"/>
    <x v="45"/>
    <n v="3862.7"/>
    <n v="3862.7"/>
    <n v="0"/>
    <n v="1"/>
  </r>
  <r>
    <x v="3"/>
    <x v="0"/>
    <x v="8"/>
    <x v="6"/>
    <x v="177"/>
    <x v="0"/>
    <x v="149"/>
    <n v="3802.74"/>
    <n v="3802.74"/>
    <n v="0"/>
    <n v="1"/>
  </r>
  <r>
    <x v="3"/>
    <x v="0"/>
    <x v="8"/>
    <x v="6"/>
    <x v="178"/>
    <x v="0"/>
    <x v="37"/>
    <n v="7715.65"/>
    <n v="7715.65"/>
    <n v="0"/>
    <n v="1"/>
  </r>
  <r>
    <x v="3"/>
    <x v="0"/>
    <x v="8"/>
    <x v="6"/>
    <x v="179"/>
    <x v="0"/>
    <x v="99"/>
    <n v="3797.43"/>
    <n v="3797.43"/>
    <n v="0"/>
    <n v="1"/>
  </r>
  <r>
    <x v="3"/>
    <x v="0"/>
    <x v="8"/>
    <x v="6"/>
    <x v="180"/>
    <x v="0"/>
    <x v="16"/>
    <n v="3555.59"/>
    <n v="3555.59"/>
    <n v="0"/>
    <n v="1"/>
  </r>
  <r>
    <x v="3"/>
    <x v="0"/>
    <x v="8"/>
    <x v="6"/>
    <x v="181"/>
    <x v="0"/>
    <x v="107"/>
    <n v="15510.99"/>
    <n v="15510.99"/>
    <n v="0"/>
    <n v="1"/>
  </r>
  <r>
    <x v="3"/>
    <x v="0"/>
    <x v="8"/>
    <x v="6"/>
    <x v="182"/>
    <x v="0"/>
    <x v="150"/>
    <n v="15831.55"/>
    <n v="15831.55"/>
    <n v="0"/>
    <n v="1"/>
  </r>
  <r>
    <x v="3"/>
    <x v="0"/>
    <x v="8"/>
    <x v="6"/>
    <x v="183"/>
    <x v="0"/>
    <x v="151"/>
    <n v="3546.27"/>
    <n v="3546.27"/>
    <n v="0"/>
    <n v="1"/>
  </r>
  <r>
    <x v="3"/>
    <x v="0"/>
    <x v="8"/>
    <x v="6"/>
    <x v="184"/>
    <x v="0"/>
    <x v="152"/>
    <n v="3200.9"/>
    <n v="3200.9"/>
    <n v="0"/>
    <n v="1"/>
  </r>
  <r>
    <x v="3"/>
    <x v="0"/>
    <x v="8"/>
    <x v="6"/>
    <x v="185"/>
    <x v="0"/>
    <x v="153"/>
    <n v="3165.99"/>
    <n v="3165.99"/>
    <n v="0"/>
    <n v="1"/>
  </r>
  <r>
    <x v="3"/>
    <x v="0"/>
    <x v="8"/>
    <x v="6"/>
    <x v="186"/>
    <x v="0"/>
    <x v="124"/>
    <n v="751.25"/>
    <n v="751.25"/>
    <n v="0"/>
    <n v="1"/>
  </r>
  <r>
    <x v="3"/>
    <x v="0"/>
    <x v="8"/>
    <x v="6"/>
    <x v="187"/>
    <x v="0"/>
    <x v="154"/>
    <n v="2985.57"/>
    <n v="2985.57"/>
    <n v="0"/>
    <n v="1"/>
  </r>
  <r>
    <x v="3"/>
    <x v="0"/>
    <x v="8"/>
    <x v="6"/>
    <x v="188"/>
    <x v="0"/>
    <x v="10"/>
    <n v="2926.8"/>
    <n v="2926.8"/>
    <n v="0"/>
    <n v="1"/>
  </r>
  <r>
    <x v="3"/>
    <x v="0"/>
    <x v="8"/>
    <x v="6"/>
    <x v="189"/>
    <x v="0"/>
    <x v="48"/>
    <n v="2597.83"/>
    <n v="2597.83"/>
    <n v="0"/>
    <n v="1"/>
  </r>
  <r>
    <x v="3"/>
    <x v="0"/>
    <x v="8"/>
    <x v="6"/>
    <x v="190"/>
    <x v="0"/>
    <x v="155"/>
    <n v="2559.56"/>
    <n v="2559.56"/>
    <n v="0"/>
    <n v="1"/>
  </r>
  <r>
    <x v="3"/>
    <x v="0"/>
    <x v="8"/>
    <x v="6"/>
    <x v="191"/>
    <x v="0"/>
    <x v="156"/>
    <n v="2325.89"/>
    <n v="2325.89"/>
    <n v="0"/>
    <n v="1"/>
  </r>
  <r>
    <x v="3"/>
    <x v="0"/>
    <x v="8"/>
    <x v="6"/>
    <x v="192"/>
    <x v="0"/>
    <x v="25"/>
    <n v="2062.4499999999998"/>
    <n v="2062.4499999999998"/>
    <n v="0"/>
    <n v="1"/>
  </r>
  <r>
    <x v="3"/>
    <x v="0"/>
    <x v="8"/>
    <x v="6"/>
    <x v="193"/>
    <x v="0"/>
    <x v="157"/>
    <n v="1872.26"/>
    <n v="1872.26"/>
    <n v="0"/>
    <n v="1"/>
  </r>
  <r>
    <x v="3"/>
    <x v="0"/>
    <x v="8"/>
    <x v="6"/>
    <x v="194"/>
    <x v="0"/>
    <x v="158"/>
    <n v="1531.44"/>
    <n v="1531.44"/>
    <n v="0"/>
    <n v="1"/>
  </r>
  <r>
    <x v="3"/>
    <x v="0"/>
    <x v="8"/>
    <x v="6"/>
    <x v="195"/>
    <x v="0"/>
    <x v="113"/>
    <n v="6769.57"/>
    <n v="6769.57"/>
    <n v="0"/>
    <n v="1"/>
  </r>
  <r>
    <x v="3"/>
    <x v="0"/>
    <x v="8"/>
    <x v="6"/>
    <x v="196"/>
    <x v="0"/>
    <x v="159"/>
    <n v="1283.05"/>
    <n v="1283.05"/>
    <n v="0"/>
    <n v="1"/>
  </r>
  <r>
    <x v="3"/>
    <x v="0"/>
    <x v="8"/>
    <x v="6"/>
    <x v="197"/>
    <x v="0"/>
    <x v="160"/>
    <n v="3020.27"/>
    <n v="3020.27"/>
    <n v="0"/>
    <n v="1"/>
  </r>
  <r>
    <x v="3"/>
    <x v="0"/>
    <x v="8"/>
    <x v="6"/>
    <x v="198"/>
    <x v="0"/>
    <x v="161"/>
    <n v="5742.92"/>
    <n v="5742.92"/>
    <n v="0"/>
    <n v="1"/>
  </r>
  <r>
    <x v="3"/>
    <x v="0"/>
    <x v="8"/>
    <x v="6"/>
    <x v="199"/>
    <x v="0"/>
    <x v="162"/>
    <n v="4928.3100000000004"/>
    <n v="4928.3100000000004"/>
    <n v="0"/>
    <n v="1"/>
  </r>
  <r>
    <x v="3"/>
    <x v="0"/>
    <x v="8"/>
    <x v="6"/>
    <x v="200"/>
    <x v="0"/>
    <x v="40"/>
    <n v="5626.5"/>
    <n v="5626.5"/>
    <n v="0"/>
    <n v="1"/>
  </r>
  <r>
    <x v="3"/>
    <x v="0"/>
    <x v="8"/>
    <x v="6"/>
    <x v="201"/>
    <x v="0"/>
    <x v="13"/>
    <n v="5077.25"/>
    <n v="5077.25"/>
    <n v="0"/>
    <n v="1"/>
  </r>
  <r>
    <x v="3"/>
    <x v="0"/>
    <x v="8"/>
    <x v="6"/>
    <x v="202"/>
    <x v="0"/>
    <x v="123"/>
    <n v="3012.88"/>
    <n v="3012.88"/>
    <n v="0"/>
    <n v="1"/>
  </r>
  <r>
    <x v="3"/>
    <x v="0"/>
    <x v="8"/>
    <x v="6"/>
    <x v="203"/>
    <x v="0"/>
    <x v="92"/>
    <n v="13403.77"/>
    <n v="13403.77"/>
    <n v="0"/>
    <n v="1"/>
  </r>
  <r>
    <x v="3"/>
    <x v="0"/>
    <x v="8"/>
    <x v="6"/>
    <x v="204"/>
    <x v="0"/>
    <x v="96"/>
    <n v="2214.69"/>
    <n v="2214.69"/>
    <n v="0"/>
    <n v="1"/>
  </r>
  <r>
    <x v="3"/>
    <x v="0"/>
    <x v="8"/>
    <x v="6"/>
    <x v="205"/>
    <x v="0"/>
    <x v="103"/>
    <n v="2452.64"/>
    <n v="2452.64"/>
    <n v="0"/>
    <n v="1"/>
  </r>
  <r>
    <x v="3"/>
    <x v="2"/>
    <x v="9"/>
    <x v="7"/>
    <x v="206"/>
    <x v="5"/>
    <x v="109"/>
    <n v="13465.5"/>
    <n v="13465.5"/>
    <n v="0"/>
    <n v="1"/>
  </r>
  <r>
    <x v="3"/>
    <x v="0"/>
    <x v="9"/>
    <x v="7"/>
    <x v="207"/>
    <x v="0"/>
    <x v="163"/>
    <n v="424.72"/>
    <n v="424.72"/>
    <n v="0"/>
    <n v="1"/>
  </r>
  <r>
    <x v="3"/>
    <x v="0"/>
    <x v="9"/>
    <x v="7"/>
    <x v="208"/>
    <x v="0"/>
    <x v="164"/>
    <n v="3154.47"/>
    <n v="3154.47"/>
    <n v="0"/>
    <n v="1"/>
  </r>
  <r>
    <x v="3"/>
    <x v="0"/>
    <x v="9"/>
    <x v="7"/>
    <x v="209"/>
    <x v="0"/>
    <x v="160"/>
    <n v="6333.55"/>
    <n v="6333.55"/>
    <n v="0"/>
    <n v="1"/>
  </r>
  <r>
    <x v="3"/>
    <x v="0"/>
    <x v="9"/>
    <x v="7"/>
    <x v="210"/>
    <x v="0"/>
    <x v="165"/>
    <n v="3151.52"/>
    <n v="3151.52"/>
    <n v="0"/>
    <n v="1"/>
  </r>
  <r>
    <x v="3"/>
    <x v="0"/>
    <x v="9"/>
    <x v="7"/>
    <x v="211"/>
    <x v="0"/>
    <x v="30"/>
    <n v="2975.04"/>
    <n v="2975.04"/>
    <n v="0"/>
    <n v="1"/>
  </r>
  <r>
    <x v="3"/>
    <x v="0"/>
    <x v="9"/>
    <x v="7"/>
    <x v="212"/>
    <x v="0"/>
    <x v="19"/>
    <n v="2638.58"/>
    <n v="2638.58"/>
    <n v="0"/>
    <n v="1"/>
  </r>
  <r>
    <x v="3"/>
    <x v="0"/>
    <x v="9"/>
    <x v="7"/>
    <x v="213"/>
    <x v="0"/>
    <x v="166"/>
    <n v="573.04"/>
    <n v="573.04"/>
    <n v="0"/>
    <n v="1"/>
  </r>
  <r>
    <x v="3"/>
    <x v="0"/>
    <x v="9"/>
    <x v="7"/>
    <x v="214"/>
    <x v="0"/>
    <x v="167"/>
    <n v="1970.26"/>
    <n v="1970.26"/>
    <n v="0"/>
    <n v="1"/>
  </r>
  <r>
    <x v="3"/>
    <x v="0"/>
    <x v="9"/>
    <x v="7"/>
    <x v="215"/>
    <x v="0"/>
    <x v="168"/>
    <n v="3175.03"/>
    <n v="3175.03"/>
    <n v="0"/>
    <n v="1"/>
  </r>
  <r>
    <x v="3"/>
    <x v="0"/>
    <x v="9"/>
    <x v="7"/>
    <x v="216"/>
    <x v="0"/>
    <x v="41"/>
    <n v="1860.16"/>
    <n v="1860.16"/>
    <n v="0"/>
    <n v="1"/>
  </r>
  <r>
    <x v="3"/>
    <x v="0"/>
    <x v="9"/>
    <x v="7"/>
    <x v="217"/>
    <x v="0"/>
    <x v="22"/>
    <n v="844.39"/>
    <n v="844.39"/>
    <n v="0"/>
    <n v="1"/>
  </r>
  <r>
    <x v="3"/>
    <x v="0"/>
    <x v="9"/>
    <x v="7"/>
    <x v="218"/>
    <x v="0"/>
    <x v="169"/>
    <n v="3036.73"/>
    <n v="3036.73"/>
    <n v="0"/>
    <n v="1"/>
  </r>
  <r>
    <x v="3"/>
    <x v="0"/>
    <x v="9"/>
    <x v="7"/>
    <x v="219"/>
    <x v="0"/>
    <x v="113"/>
    <n v="3744.1"/>
    <n v="3744.1"/>
    <n v="0"/>
    <n v="1"/>
  </r>
  <r>
    <x v="3"/>
    <x v="0"/>
    <x v="9"/>
    <x v="7"/>
    <x v="220"/>
    <x v="0"/>
    <x v="124"/>
    <n v="5437.14"/>
    <n v="5437.14"/>
    <n v="0"/>
    <n v="1"/>
  </r>
  <r>
    <x v="3"/>
    <x v="0"/>
    <x v="9"/>
    <x v="7"/>
    <x v="221"/>
    <x v="0"/>
    <x v="170"/>
    <n v="1704.31"/>
    <n v="1704.31"/>
    <n v="0"/>
    <n v="1"/>
  </r>
  <r>
    <x v="3"/>
    <x v="0"/>
    <x v="9"/>
    <x v="7"/>
    <x v="222"/>
    <x v="0"/>
    <x v="171"/>
    <n v="953.56"/>
    <n v="953.56"/>
    <n v="0"/>
    <n v="1"/>
  </r>
  <r>
    <x v="3"/>
    <x v="0"/>
    <x v="9"/>
    <x v="7"/>
    <x v="223"/>
    <x v="0"/>
    <x v="92"/>
    <n v="6548.76"/>
    <n v="6548.76"/>
    <n v="0"/>
    <n v="1"/>
  </r>
  <r>
    <x v="3"/>
    <x v="0"/>
    <x v="9"/>
    <x v="7"/>
    <x v="224"/>
    <x v="0"/>
    <x v="24"/>
    <n v="1343.58"/>
    <n v="1343.58"/>
    <n v="0"/>
    <n v="1"/>
  </r>
  <r>
    <x v="3"/>
    <x v="0"/>
    <x v="9"/>
    <x v="7"/>
    <x v="225"/>
    <x v="0"/>
    <x v="172"/>
    <n v="2167.11"/>
    <n v="2167.11"/>
    <n v="0"/>
    <n v="1"/>
  </r>
  <r>
    <x v="3"/>
    <x v="0"/>
    <x v="9"/>
    <x v="7"/>
    <x v="226"/>
    <x v="0"/>
    <x v="137"/>
    <n v="211.24"/>
    <n v="211.24"/>
    <n v="0"/>
    <n v="1"/>
  </r>
  <r>
    <x v="3"/>
    <x v="0"/>
    <x v="9"/>
    <x v="7"/>
    <x v="227"/>
    <x v="0"/>
    <x v="108"/>
    <n v="17891.400000000001"/>
    <n v="17891.400000000001"/>
    <n v="0"/>
    <n v="1"/>
  </r>
  <r>
    <x v="3"/>
    <x v="0"/>
    <x v="9"/>
    <x v="7"/>
    <x v="228"/>
    <x v="0"/>
    <x v="173"/>
    <n v="3236.09"/>
    <n v="3236.09"/>
    <n v="0"/>
    <n v="1"/>
  </r>
  <r>
    <x v="3"/>
    <x v="0"/>
    <x v="9"/>
    <x v="7"/>
    <x v="229"/>
    <x v="0"/>
    <x v="174"/>
    <n v="14890.75"/>
    <n v="14890.75"/>
    <n v="0"/>
    <n v="1"/>
  </r>
  <r>
    <x v="3"/>
    <x v="0"/>
    <x v="9"/>
    <x v="7"/>
    <x v="230"/>
    <x v="0"/>
    <x v="120"/>
    <n v="12847.39"/>
    <n v="12847.39"/>
    <n v="0"/>
    <n v="1"/>
  </r>
  <r>
    <x v="3"/>
    <x v="0"/>
    <x v="9"/>
    <x v="7"/>
    <x v="231"/>
    <x v="0"/>
    <x v="93"/>
    <n v="11098.26"/>
    <n v="11098.26"/>
    <n v="0"/>
    <n v="1"/>
  </r>
  <r>
    <x v="3"/>
    <x v="0"/>
    <x v="9"/>
    <x v="7"/>
    <x v="232"/>
    <x v="0"/>
    <x v="175"/>
    <n v="10087"/>
    <n v="10087"/>
    <n v="0"/>
    <n v="1"/>
  </r>
  <r>
    <x v="3"/>
    <x v="0"/>
    <x v="9"/>
    <x v="7"/>
    <x v="233"/>
    <x v="0"/>
    <x v="176"/>
    <n v="9469.82"/>
    <n v="9469.82"/>
    <n v="0"/>
    <n v="1"/>
  </r>
  <r>
    <x v="3"/>
    <x v="0"/>
    <x v="9"/>
    <x v="7"/>
    <x v="234"/>
    <x v="0"/>
    <x v="177"/>
    <n v="1252.24"/>
    <n v="1252.24"/>
    <n v="0"/>
    <n v="1"/>
  </r>
  <r>
    <x v="3"/>
    <x v="0"/>
    <x v="9"/>
    <x v="7"/>
    <x v="235"/>
    <x v="0"/>
    <x v="9"/>
    <n v="9073.2099999999991"/>
    <n v="9073.2099999999991"/>
    <n v="0"/>
    <n v="1"/>
  </r>
  <r>
    <x v="3"/>
    <x v="0"/>
    <x v="9"/>
    <x v="7"/>
    <x v="236"/>
    <x v="6"/>
    <x v="178"/>
    <n v="-347319"/>
    <n v="-347319"/>
    <n v="0"/>
    <n v="1"/>
  </r>
  <r>
    <x v="3"/>
    <x v="0"/>
    <x v="9"/>
    <x v="7"/>
    <x v="237"/>
    <x v="0"/>
    <x v="40"/>
    <n v="9180.57"/>
    <n v="9180.57"/>
    <n v="0"/>
    <n v="1"/>
  </r>
  <r>
    <x v="3"/>
    <x v="0"/>
    <x v="9"/>
    <x v="7"/>
    <x v="238"/>
    <x v="0"/>
    <x v="179"/>
    <n v="4174.49"/>
    <n v="4174.49"/>
    <n v="0"/>
    <n v="1"/>
  </r>
  <r>
    <x v="3"/>
    <x v="0"/>
    <x v="9"/>
    <x v="7"/>
    <x v="239"/>
    <x v="0"/>
    <x v="42"/>
    <n v="3655.81"/>
    <n v="3655.81"/>
    <n v="0"/>
    <n v="1"/>
  </r>
  <r>
    <x v="3"/>
    <x v="0"/>
    <x v="9"/>
    <x v="7"/>
    <x v="240"/>
    <x v="0"/>
    <x v="120"/>
    <n v="8461.01"/>
    <n v="8461.01"/>
    <n v="0"/>
    <n v="1"/>
  </r>
  <r>
    <x v="3"/>
    <x v="0"/>
    <x v="9"/>
    <x v="7"/>
    <x v="241"/>
    <x v="6"/>
    <x v="180"/>
    <n v="-9713.84"/>
    <n v="-9713.84"/>
    <n v="0"/>
    <n v="1"/>
  </r>
  <r>
    <x v="3"/>
    <x v="0"/>
    <x v="9"/>
    <x v="7"/>
    <x v="242"/>
    <x v="0"/>
    <x v="181"/>
    <n v="5198.33"/>
    <n v="5198.33"/>
    <n v="0"/>
    <n v="1"/>
  </r>
  <r>
    <x v="3"/>
    <x v="0"/>
    <x v="9"/>
    <x v="7"/>
    <x v="243"/>
    <x v="0"/>
    <x v="40"/>
    <n v="1072.72"/>
    <n v="1072.72"/>
    <n v="0"/>
    <n v="1"/>
  </r>
  <r>
    <x v="3"/>
    <x v="0"/>
    <x v="9"/>
    <x v="7"/>
    <x v="244"/>
    <x v="0"/>
    <x v="112"/>
    <n v="5505.97"/>
    <n v="5505.97"/>
    <n v="0"/>
    <n v="1"/>
  </r>
  <r>
    <x v="3"/>
    <x v="2"/>
    <x v="10"/>
    <x v="8"/>
    <x v="245"/>
    <x v="5"/>
    <x v="161"/>
    <n v="5044.88"/>
    <n v="5044.88"/>
    <n v="0"/>
    <n v="1"/>
  </r>
  <r>
    <x v="3"/>
    <x v="0"/>
    <x v="10"/>
    <x v="8"/>
    <x v="246"/>
    <x v="0"/>
    <x v="182"/>
    <n v="4130.4399999999996"/>
    <n v="4130.4399999999996"/>
    <n v="0"/>
    <n v="1"/>
  </r>
  <r>
    <x v="3"/>
    <x v="0"/>
    <x v="10"/>
    <x v="8"/>
    <x v="247"/>
    <x v="0"/>
    <x v="122"/>
    <n v="3663.59"/>
    <n v="3663.59"/>
    <n v="0"/>
    <n v="1"/>
  </r>
  <r>
    <x v="3"/>
    <x v="0"/>
    <x v="10"/>
    <x v="8"/>
    <x v="248"/>
    <x v="0"/>
    <x v="97"/>
    <n v="20550.22"/>
    <n v="20550.22"/>
    <n v="0"/>
    <n v="1"/>
  </r>
  <r>
    <x v="3"/>
    <x v="0"/>
    <x v="10"/>
    <x v="8"/>
    <x v="249"/>
    <x v="0"/>
    <x v="101"/>
    <n v="4897.8100000000004"/>
    <n v="4897.8100000000004"/>
    <n v="0"/>
    <n v="1"/>
  </r>
  <r>
    <x v="3"/>
    <x v="0"/>
    <x v="10"/>
    <x v="8"/>
    <x v="250"/>
    <x v="0"/>
    <x v="183"/>
    <n v="6008.36"/>
    <n v="6008.36"/>
    <n v="0"/>
    <n v="1"/>
  </r>
  <r>
    <x v="3"/>
    <x v="0"/>
    <x v="10"/>
    <x v="8"/>
    <x v="251"/>
    <x v="0"/>
    <x v="136"/>
    <n v="770.84"/>
    <n v="770.84"/>
    <n v="0"/>
    <n v="1"/>
  </r>
  <r>
    <x v="3"/>
    <x v="0"/>
    <x v="10"/>
    <x v="8"/>
    <x v="252"/>
    <x v="0"/>
    <x v="0"/>
    <n v="17387.150000000001"/>
    <n v="17387.150000000001"/>
    <n v="0"/>
    <n v="1"/>
  </r>
  <r>
    <x v="3"/>
    <x v="0"/>
    <x v="10"/>
    <x v="8"/>
    <x v="253"/>
    <x v="0"/>
    <x v="149"/>
    <n v="1113.21"/>
    <n v="1113.21"/>
    <n v="0"/>
    <n v="1"/>
  </r>
  <r>
    <x v="3"/>
    <x v="0"/>
    <x v="10"/>
    <x v="8"/>
    <x v="254"/>
    <x v="0"/>
    <x v="184"/>
    <n v="1023.54"/>
    <n v="1023.54"/>
    <n v="0"/>
    <n v="1"/>
  </r>
  <r>
    <x v="3"/>
    <x v="0"/>
    <x v="10"/>
    <x v="8"/>
    <x v="255"/>
    <x v="0"/>
    <x v="185"/>
    <n v="987.23"/>
    <n v="987.23"/>
    <n v="0"/>
    <n v="1"/>
  </r>
  <r>
    <x v="3"/>
    <x v="0"/>
    <x v="10"/>
    <x v="8"/>
    <x v="256"/>
    <x v="0"/>
    <x v="186"/>
    <n v="4240.07"/>
    <n v="4240.07"/>
    <n v="0"/>
    <n v="1"/>
  </r>
  <r>
    <x v="3"/>
    <x v="0"/>
    <x v="10"/>
    <x v="8"/>
    <x v="257"/>
    <x v="0"/>
    <x v="187"/>
    <n v="1397.76"/>
    <n v="1397.76"/>
    <n v="0"/>
    <n v="1"/>
  </r>
  <r>
    <x v="3"/>
    <x v="0"/>
    <x v="10"/>
    <x v="8"/>
    <x v="258"/>
    <x v="0"/>
    <x v="103"/>
    <n v="1432.62"/>
    <n v="1432.62"/>
    <n v="0"/>
    <n v="1"/>
  </r>
  <r>
    <x v="3"/>
    <x v="0"/>
    <x v="10"/>
    <x v="8"/>
    <x v="259"/>
    <x v="0"/>
    <x v="188"/>
    <n v="2912.38"/>
    <n v="2912.38"/>
    <n v="0"/>
    <n v="1"/>
  </r>
  <r>
    <x v="3"/>
    <x v="0"/>
    <x v="10"/>
    <x v="8"/>
    <x v="260"/>
    <x v="0"/>
    <x v="31"/>
    <n v="2274.7399999999998"/>
    <n v="2274.7399999999998"/>
    <n v="0"/>
    <n v="1"/>
  </r>
  <r>
    <x v="3"/>
    <x v="0"/>
    <x v="10"/>
    <x v="8"/>
    <x v="261"/>
    <x v="0"/>
    <x v="189"/>
    <n v="2953.22"/>
    <n v="2953.22"/>
    <n v="0"/>
    <n v="1"/>
  </r>
  <r>
    <x v="3"/>
    <x v="0"/>
    <x v="10"/>
    <x v="8"/>
    <x v="262"/>
    <x v="0"/>
    <x v="78"/>
    <n v="2243.7800000000002"/>
    <n v="2243.7800000000002"/>
    <n v="0"/>
    <n v="1"/>
  </r>
  <r>
    <x v="3"/>
    <x v="0"/>
    <x v="10"/>
    <x v="8"/>
    <x v="263"/>
    <x v="0"/>
    <x v="190"/>
    <n v="3099.96"/>
    <n v="3099.96"/>
    <n v="0"/>
    <n v="1"/>
  </r>
  <r>
    <x v="3"/>
    <x v="0"/>
    <x v="10"/>
    <x v="8"/>
    <x v="264"/>
    <x v="0"/>
    <x v="191"/>
    <n v="3178.91"/>
    <n v="3178.91"/>
    <n v="0"/>
    <n v="1"/>
  </r>
  <r>
    <x v="3"/>
    <x v="0"/>
    <x v="10"/>
    <x v="8"/>
    <x v="265"/>
    <x v="0"/>
    <x v="192"/>
    <n v="1867.12"/>
    <n v="1867.12"/>
    <n v="0"/>
    <n v="1"/>
  </r>
  <r>
    <x v="3"/>
    <x v="0"/>
    <x v="10"/>
    <x v="8"/>
    <x v="266"/>
    <x v="0"/>
    <x v="22"/>
    <n v="3672.9"/>
    <n v="3672.9"/>
    <n v="0"/>
    <n v="1"/>
  </r>
  <r>
    <x v="3"/>
    <x v="0"/>
    <x v="10"/>
    <x v="8"/>
    <x v="267"/>
    <x v="0"/>
    <x v="193"/>
    <n v="1700.4"/>
    <n v="1700.4"/>
    <n v="0"/>
    <n v="1"/>
  </r>
  <r>
    <x v="3"/>
    <x v="0"/>
    <x v="10"/>
    <x v="8"/>
    <x v="268"/>
    <x v="0"/>
    <x v="105"/>
    <n v="9116.7800000000007"/>
    <n v="9116.7800000000007"/>
    <n v="0"/>
    <n v="1"/>
  </r>
  <r>
    <x v="3"/>
    <x v="0"/>
    <x v="10"/>
    <x v="8"/>
    <x v="269"/>
    <x v="0"/>
    <x v="34"/>
    <n v="1600.63"/>
    <n v="1600.63"/>
    <n v="0"/>
    <n v="1"/>
  </r>
  <r>
    <x v="3"/>
    <x v="0"/>
    <x v="10"/>
    <x v="8"/>
    <x v="270"/>
    <x v="0"/>
    <x v="73"/>
    <n v="2775.44"/>
    <n v="2775.44"/>
    <n v="0"/>
    <n v="1"/>
  </r>
  <r>
    <x v="3"/>
    <x v="0"/>
    <x v="10"/>
    <x v="8"/>
    <x v="271"/>
    <x v="0"/>
    <x v="194"/>
    <n v="1523.95"/>
    <n v="1523.95"/>
    <n v="0"/>
    <n v="1"/>
  </r>
  <r>
    <x v="3"/>
    <x v="0"/>
    <x v="10"/>
    <x v="8"/>
    <x v="272"/>
    <x v="0"/>
    <x v="90"/>
    <n v="4832.22"/>
    <n v="4832.22"/>
    <n v="0"/>
    <n v="1"/>
  </r>
  <r>
    <x v="3"/>
    <x v="0"/>
    <x v="10"/>
    <x v="8"/>
    <x v="273"/>
    <x v="0"/>
    <x v="195"/>
    <n v="1504.12"/>
    <n v="1504.12"/>
    <n v="0"/>
    <n v="1"/>
  </r>
  <r>
    <x v="3"/>
    <x v="0"/>
    <x v="10"/>
    <x v="8"/>
    <x v="274"/>
    <x v="0"/>
    <x v="123"/>
    <n v="4711.3999999999996"/>
    <n v="4711.3999999999996"/>
    <n v="0"/>
    <n v="1"/>
  </r>
  <r>
    <x v="3"/>
    <x v="0"/>
    <x v="10"/>
    <x v="8"/>
    <x v="275"/>
    <x v="0"/>
    <x v="44"/>
    <n v="4872.6899999999996"/>
    <n v="4872.6899999999996"/>
    <n v="0"/>
    <n v="1"/>
  </r>
  <r>
    <x v="3"/>
    <x v="0"/>
    <x v="10"/>
    <x v="8"/>
    <x v="276"/>
    <x v="0"/>
    <x v="153"/>
    <n v="2324.96"/>
    <n v="2324.96"/>
    <n v="0"/>
    <n v="1"/>
  </r>
  <r>
    <x v="3"/>
    <x v="0"/>
    <x v="10"/>
    <x v="8"/>
    <x v="277"/>
    <x v="0"/>
    <x v="196"/>
    <n v="7874.86"/>
    <n v="7874.86"/>
    <n v="0"/>
    <n v="1"/>
  </r>
  <r>
    <x v="3"/>
    <x v="0"/>
    <x v="10"/>
    <x v="8"/>
    <x v="278"/>
    <x v="0"/>
    <x v="197"/>
    <n v="537.09"/>
    <n v="537.09"/>
    <n v="0"/>
    <n v="1"/>
  </r>
  <r>
    <x v="3"/>
    <x v="0"/>
    <x v="10"/>
    <x v="8"/>
    <x v="279"/>
    <x v="0"/>
    <x v="198"/>
    <n v="694.57"/>
    <n v="694.57"/>
    <n v="0"/>
    <n v="1"/>
  </r>
  <r>
    <x v="3"/>
    <x v="0"/>
    <x v="10"/>
    <x v="8"/>
    <x v="280"/>
    <x v="0"/>
    <x v="199"/>
    <n v="552.09"/>
    <n v="552.09"/>
    <n v="0"/>
    <n v="1"/>
  </r>
  <r>
    <x v="3"/>
    <x v="0"/>
    <x v="10"/>
    <x v="8"/>
    <x v="281"/>
    <x v="0"/>
    <x v="45"/>
    <n v="10184.299999999999"/>
    <n v="10184.299999999999"/>
    <n v="0"/>
    <n v="1"/>
  </r>
  <r>
    <x v="3"/>
    <x v="0"/>
    <x v="10"/>
    <x v="8"/>
    <x v="282"/>
    <x v="0"/>
    <x v="108"/>
    <n v="3578.17"/>
    <n v="3578.17"/>
    <n v="0"/>
    <n v="1"/>
  </r>
  <r>
    <x v="3"/>
    <x v="0"/>
    <x v="10"/>
    <x v="8"/>
    <x v="283"/>
    <x v="6"/>
    <x v="200"/>
    <n v="-16588.599999999999"/>
    <n v="-16588.599999999999"/>
    <n v="0"/>
    <n v="1"/>
  </r>
  <r>
    <x v="3"/>
    <x v="0"/>
    <x v="10"/>
    <x v="8"/>
    <x v="284"/>
    <x v="6"/>
    <x v="201"/>
    <n v="-25808.49"/>
    <n v="-25808.49"/>
    <n v="0"/>
    <n v="1"/>
  </r>
  <r>
    <x v="3"/>
    <x v="0"/>
    <x v="10"/>
    <x v="8"/>
    <x v="285"/>
    <x v="6"/>
    <x v="202"/>
    <n v="-37729.72"/>
    <n v="-37729.72"/>
    <n v="0"/>
    <n v="1"/>
  </r>
  <r>
    <x v="3"/>
    <x v="0"/>
    <x v="10"/>
    <x v="8"/>
    <x v="286"/>
    <x v="0"/>
    <x v="148"/>
    <n v="6763.71"/>
    <n v="6763.71"/>
    <n v="0"/>
    <n v="1"/>
  </r>
  <r>
    <x v="3"/>
    <x v="0"/>
    <x v="4"/>
    <x v="9"/>
    <x v="287"/>
    <x v="0"/>
    <x v="203"/>
    <n v="1572.52"/>
    <n v="1572.52"/>
    <n v="0"/>
    <n v="1"/>
  </r>
  <r>
    <x v="3"/>
    <x v="0"/>
    <x v="4"/>
    <x v="9"/>
    <x v="288"/>
    <x v="0"/>
    <x v="70"/>
    <n v="1637.23"/>
    <n v="1637.23"/>
    <n v="0"/>
    <n v="1"/>
  </r>
  <r>
    <x v="3"/>
    <x v="0"/>
    <x v="4"/>
    <x v="9"/>
    <x v="289"/>
    <x v="0"/>
    <x v="89"/>
    <n v="8786.8700000000008"/>
    <n v="8786.8700000000008"/>
    <n v="0"/>
    <n v="1"/>
  </r>
  <r>
    <x v="3"/>
    <x v="0"/>
    <x v="4"/>
    <x v="9"/>
    <x v="290"/>
    <x v="0"/>
    <x v="204"/>
    <n v="1754.68"/>
    <n v="1754.68"/>
    <n v="0"/>
    <n v="1"/>
  </r>
  <r>
    <x v="3"/>
    <x v="0"/>
    <x v="4"/>
    <x v="9"/>
    <x v="291"/>
    <x v="6"/>
    <x v="205"/>
    <n v="-23664.240000000002"/>
    <n v="-23664.240000000002"/>
    <n v="0"/>
    <n v="1"/>
  </r>
  <r>
    <x v="3"/>
    <x v="0"/>
    <x v="4"/>
    <x v="9"/>
    <x v="292"/>
    <x v="0"/>
    <x v="95"/>
    <n v="1766.61"/>
    <n v="1766.61"/>
    <n v="0"/>
    <n v="1"/>
  </r>
  <r>
    <x v="3"/>
    <x v="0"/>
    <x v="4"/>
    <x v="9"/>
    <x v="293"/>
    <x v="0"/>
    <x v="206"/>
    <n v="1839.5"/>
    <n v="1839.5"/>
    <n v="0"/>
    <n v="1"/>
  </r>
  <r>
    <x v="3"/>
    <x v="0"/>
    <x v="4"/>
    <x v="9"/>
    <x v="294"/>
    <x v="6"/>
    <x v="207"/>
    <n v="-24298.2"/>
    <n v="-24298.2"/>
    <n v="0"/>
    <n v="1"/>
  </r>
  <r>
    <x v="3"/>
    <x v="0"/>
    <x v="4"/>
    <x v="9"/>
    <x v="295"/>
    <x v="0"/>
    <x v="75"/>
    <n v="1430.2"/>
    <n v="1430.2"/>
    <n v="0"/>
    <n v="1"/>
  </r>
  <r>
    <x v="3"/>
    <x v="0"/>
    <x v="4"/>
    <x v="9"/>
    <x v="296"/>
    <x v="0"/>
    <x v="16"/>
    <n v="1909.52"/>
    <n v="1909.52"/>
    <n v="0"/>
    <n v="1"/>
  </r>
  <r>
    <x v="3"/>
    <x v="0"/>
    <x v="4"/>
    <x v="9"/>
    <x v="297"/>
    <x v="0"/>
    <x v="208"/>
    <n v="1989.28"/>
    <n v="1989.28"/>
    <n v="0"/>
    <n v="1"/>
  </r>
  <r>
    <x v="3"/>
    <x v="0"/>
    <x v="4"/>
    <x v="9"/>
    <x v="298"/>
    <x v="0"/>
    <x v="71"/>
    <n v="2244.92"/>
    <n v="2244.92"/>
    <n v="0"/>
    <n v="1"/>
  </r>
  <r>
    <x v="3"/>
    <x v="0"/>
    <x v="4"/>
    <x v="9"/>
    <x v="299"/>
    <x v="6"/>
    <x v="209"/>
    <n v="-24489.79"/>
    <n v="-24489.79"/>
    <n v="0"/>
    <n v="1"/>
  </r>
  <r>
    <x v="3"/>
    <x v="0"/>
    <x v="4"/>
    <x v="9"/>
    <x v="300"/>
    <x v="0"/>
    <x v="93"/>
    <n v="7438.49"/>
    <n v="7438.49"/>
    <n v="0"/>
    <n v="1"/>
  </r>
  <r>
    <x v="3"/>
    <x v="0"/>
    <x v="4"/>
    <x v="9"/>
    <x v="301"/>
    <x v="0"/>
    <x v="210"/>
    <n v="1778.37"/>
    <n v="1778.37"/>
    <n v="0"/>
    <n v="1"/>
  </r>
  <r>
    <x v="3"/>
    <x v="0"/>
    <x v="4"/>
    <x v="9"/>
    <x v="302"/>
    <x v="6"/>
    <x v="211"/>
    <n v="-19459.84"/>
    <n v="-19459.84"/>
    <n v="0"/>
    <n v="1"/>
  </r>
  <r>
    <x v="3"/>
    <x v="0"/>
    <x v="4"/>
    <x v="9"/>
    <x v="303"/>
    <x v="6"/>
    <x v="212"/>
    <n v="-17886.740000000002"/>
    <n v="-17886.740000000002"/>
    <n v="0"/>
    <n v="1"/>
  </r>
  <r>
    <x v="3"/>
    <x v="0"/>
    <x v="4"/>
    <x v="9"/>
    <x v="304"/>
    <x v="0"/>
    <x v="213"/>
    <n v="1228.1199999999999"/>
    <n v="1228.1199999999999"/>
    <n v="0"/>
    <n v="1"/>
  </r>
  <r>
    <x v="3"/>
    <x v="0"/>
    <x v="4"/>
    <x v="9"/>
    <x v="305"/>
    <x v="6"/>
    <x v="214"/>
    <n v="-4993.22"/>
    <n v="-4993.22"/>
    <n v="0"/>
    <n v="1"/>
  </r>
  <r>
    <x v="3"/>
    <x v="0"/>
    <x v="4"/>
    <x v="9"/>
    <x v="306"/>
    <x v="6"/>
    <x v="215"/>
    <n v="-12540"/>
    <n v="-12540"/>
    <n v="0"/>
    <n v="1"/>
  </r>
  <r>
    <x v="3"/>
    <x v="0"/>
    <x v="4"/>
    <x v="9"/>
    <x v="307"/>
    <x v="6"/>
    <x v="216"/>
    <n v="-4664.47"/>
    <n v="-4664.47"/>
    <n v="0"/>
    <n v="1"/>
  </r>
  <r>
    <x v="3"/>
    <x v="0"/>
    <x v="4"/>
    <x v="9"/>
    <x v="308"/>
    <x v="0"/>
    <x v="105"/>
    <n v="5109.09"/>
    <n v="5109.09"/>
    <n v="0"/>
    <n v="1"/>
  </r>
  <r>
    <x v="3"/>
    <x v="0"/>
    <x v="4"/>
    <x v="9"/>
    <x v="309"/>
    <x v="0"/>
    <x v="217"/>
    <n v="702.72"/>
    <n v="702.72"/>
    <n v="0"/>
    <n v="1"/>
  </r>
  <r>
    <x v="3"/>
    <x v="0"/>
    <x v="4"/>
    <x v="9"/>
    <x v="310"/>
    <x v="6"/>
    <x v="218"/>
    <n v="-13463.7"/>
    <n v="-13463.7"/>
    <n v="0"/>
    <n v="1"/>
  </r>
  <r>
    <x v="3"/>
    <x v="0"/>
    <x v="4"/>
    <x v="9"/>
    <x v="311"/>
    <x v="0"/>
    <x v="219"/>
    <n v="703.16"/>
    <n v="703.16"/>
    <n v="0"/>
    <n v="1"/>
  </r>
  <r>
    <x v="3"/>
    <x v="0"/>
    <x v="4"/>
    <x v="9"/>
    <x v="312"/>
    <x v="0"/>
    <x v="14"/>
    <n v="4187.5200000000004"/>
    <n v="4187.5200000000004"/>
    <n v="0"/>
    <n v="1"/>
  </r>
  <r>
    <x v="3"/>
    <x v="0"/>
    <x v="4"/>
    <x v="9"/>
    <x v="313"/>
    <x v="0"/>
    <x v="220"/>
    <n v="829.7"/>
    <n v="829.7"/>
    <n v="0"/>
    <n v="1"/>
  </r>
  <r>
    <x v="3"/>
    <x v="0"/>
    <x v="4"/>
    <x v="9"/>
    <x v="314"/>
    <x v="0"/>
    <x v="114"/>
    <n v="8088.33"/>
    <n v="8088.33"/>
    <n v="0"/>
    <n v="1"/>
  </r>
  <r>
    <x v="3"/>
    <x v="0"/>
    <x v="4"/>
    <x v="9"/>
    <x v="315"/>
    <x v="0"/>
    <x v="221"/>
    <n v="874.72"/>
    <n v="874.72"/>
    <n v="0"/>
    <n v="1"/>
  </r>
  <r>
    <x v="3"/>
    <x v="0"/>
    <x v="4"/>
    <x v="9"/>
    <x v="316"/>
    <x v="6"/>
    <x v="222"/>
    <n v="-16720"/>
    <n v="-16720"/>
    <n v="0"/>
    <n v="1"/>
  </r>
  <r>
    <x v="3"/>
    <x v="0"/>
    <x v="4"/>
    <x v="9"/>
    <x v="317"/>
    <x v="0"/>
    <x v="73"/>
    <n v="981.16"/>
    <n v="981.16"/>
    <n v="0"/>
    <n v="1"/>
  </r>
  <r>
    <x v="3"/>
    <x v="0"/>
    <x v="4"/>
    <x v="9"/>
    <x v="318"/>
    <x v="0"/>
    <x v="223"/>
    <n v="1052.7"/>
    <n v="1052.7"/>
    <n v="0"/>
    <n v="1"/>
  </r>
  <r>
    <x v="3"/>
    <x v="0"/>
    <x v="4"/>
    <x v="9"/>
    <x v="319"/>
    <x v="6"/>
    <x v="224"/>
    <n v="-26177.4"/>
    <n v="-26177.4"/>
    <n v="0"/>
    <n v="1"/>
  </r>
  <r>
    <x v="3"/>
    <x v="0"/>
    <x v="4"/>
    <x v="9"/>
    <x v="320"/>
    <x v="0"/>
    <x v="225"/>
    <n v="1081.74"/>
    <n v="1081.74"/>
    <n v="0"/>
    <n v="1"/>
  </r>
  <r>
    <x v="3"/>
    <x v="0"/>
    <x v="4"/>
    <x v="9"/>
    <x v="321"/>
    <x v="0"/>
    <x v="12"/>
    <n v="862.42"/>
    <n v="862.42"/>
    <n v="0"/>
    <n v="1"/>
  </r>
  <r>
    <x v="3"/>
    <x v="0"/>
    <x v="4"/>
    <x v="9"/>
    <x v="322"/>
    <x v="0"/>
    <x v="25"/>
    <n v="3017.3"/>
    <n v="3017.3"/>
    <n v="0"/>
    <n v="1"/>
  </r>
  <r>
    <x v="3"/>
    <x v="0"/>
    <x v="4"/>
    <x v="9"/>
    <x v="323"/>
    <x v="6"/>
    <x v="226"/>
    <n v="-5474.92"/>
    <n v="-5474.92"/>
    <n v="0"/>
    <n v="1"/>
  </r>
  <r>
    <x v="3"/>
    <x v="0"/>
    <x v="4"/>
    <x v="9"/>
    <x v="324"/>
    <x v="6"/>
    <x v="227"/>
    <n v="-39710"/>
    <n v="-39710"/>
    <n v="0"/>
    <n v="1"/>
  </r>
  <r>
    <x v="3"/>
    <x v="0"/>
    <x v="4"/>
    <x v="9"/>
    <x v="325"/>
    <x v="0"/>
    <x v="121"/>
    <n v="5631.43"/>
    <n v="5631.43"/>
    <n v="0"/>
    <n v="1"/>
  </r>
  <r>
    <x v="3"/>
    <x v="0"/>
    <x v="4"/>
    <x v="9"/>
    <x v="326"/>
    <x v="0"/>
    <x v="228"/>
    <n v="3179.84"/>
    <n v="3179.84"/>
    <n v="0"/>
    <n v="1"/>
  </r>
  <r>
    <x v="3"/>
    <x v="0"/>
    <x v="4"/>
    <x v="9"/>
    <x v="327"/>
    <x v="6"/>
    <x v="229"/>
    <n v="-83579.789999999994"/>
    <n v="-83579.789999999994"/>
    <n v="0"/>
    <n v="1"/>
  </r>
  <r>
    <x v="3"/>
    <x v="0"/>
    <x v="4"/>
    <x v="9"/>
    <x v="328"/>
    <x v="0"/>
    <x v="157"/>
    <n v="3573.28"/>
    <n v="3573.28"/>
    <n v="0"/>
    <n v="1"/>
  </r>
  <r>
    <x v="3"/>
    <x v="0"/>
    <x v="4"/>
    <x v="9"/>
    <x v="329"/>
    <x v="0"/>
    <x v="230"/>
    <n v="5486.69"/>
    <n v="5486.69"/>
    <n v="0"/>
    <n v="1"/>
  </r>
  <r>
    <x v="3"/>
    <x v="0"/>
    <x v="4"/>
    <x v="9"/>
    <x v="330"/>
    <x v="6"/>
    <x v="231"/>
    <n v="-92754.21"/>
    <n v="-92754.21"/>
    <n v="0"/>
    <n v="1"/>
  </r>
  <r>
    <x v="3"/>
    <x v="0"/>
    <x v="4"/>
    <x v="9"/>
    <x v="331"/>
    <x v="6"/>
    <x v="232"/>
    <n v="-32909.47"/>
    <n v="-32909.47"/>
    <n v="0"/>
    <n v="1"/>
  </r>
  <r>
    <x v="3"/>
    <x v="0"/>
    <x v="4"/>
    <x v="9"/>
    <x v="332"/>
    <x v="6"/>
    <x v="233"/>
    <n v="-51717.53"/>
    <n v="-51717.53"/>
    <n v="0"/>
    <n v="1"/>
  </r>
  <r>
    <x v="3"/>
    <x v="0"/>
    <x v="4"/>
    <x v="9"/>
    <x v="333"/>
    <x v="6"/>
    <x v="234"/>
    <n v="-29121.61"/>
    <n v="-29121.61"/>
    <n v="0"/>
    <n v="1"/>
  </r>
  <r>
    <x v="3"/>
    <x v="0"/>
    <x v="4"/>
    <x v="9"/>
    <x v="334"/>
    <x v="0"/>
    <x v="117"/>
    <n v="3161.84"/>
    <n v="3161.84"/>
    <n v="0"/>
    <n v="1"/>
  </r>
  <r>
    <x v="3"/>
    <x v="0"/>
    <x v="4"/>
    <x v="9"/>
    <x v="335"/>
    <x v="0"/>
    <x v="1"/>
    <n v="4018.22"/>
    <n v="4018.22"/>
    <n v="0"/>
    <n v="1"/>
  </r>
  <r>
    <x v="3"/>
    <x v="0"/>
    <x v="4"/>
    <x v="9"/>
    <x v="336"/>
    <x v="0"/>
    <x v="153"/>
    <n v="4447.1000000000004"/>
    <n v="4447.1000000000004"/>
    <n v="0"/>
    <n v="1"/>
  </r>
  <r>
    <x v="3"/>
    <x v="0"/>
    <x v="4"/>
    <x v="9"/>
    <x v="337"/>
    <x v="0"/>
    <x v="89"/>
    <n v="6020.34"/>
    <n v="6020.34"/>
    <n v="0"/>
    <n v="1"/>
  </r>
  <r>
    <x v="3"/>
    <x v="0"/>
    <x v="4"/>
    <x v="9"/>
    <x v="338"/>
    <x v="0"/>
    <x v="235"/>
    <n v="3270.91"/>
    <n v="3270.91"/>
    <n v="0"/>
    <n v="1"/>
  </r>
  <r>
    <x v="3"/>
    <x v="0"/>
    <x v="4"/>
    <x v="9"/>
    <x v="339"/>
    <x v="6"/>
    <x v="236"/>
    <n v="-28424.76"/>
    <n v="-28424.76"/>
    <n v="0"/>
    <n v="1"/>
  </r>
  <r>
    <x v="3"/>
    <x v="2"/>
    <x v="0"/>
    <x v="0"/>
    <x v="340"/>
    <x v="5"/>
    <x v="169"/>
    <n v="5356.49"/>
    <n v="5356.49"/>
    <n v="0"/>
    <n v="1"/>
  </r>
  <r>
    <x v="3"/>
    <x v="0"/>
    <x v="0"/>
    <x v="0"/>
    <x v="341"/>
    <x v="0"/>
    <x v="99"/>
    <n v="1814.65"/>
    <n v="1814.65"/>
    <n v="0"/>
    <n v="1"/>
  </r>
  <r>
    <x v="3"/>
    <x v="0"/>
    <x v="0"/>
    <x v="0"/>
    <x v="342"/>
    <x v="0"/>
    <x v="153"/>
    <n v="3195.53"/>
    <n v="3195.53"/>
    <n v="0"/>
    <n v="1"/>
  </r>
  <r>
    <x v="3"/>
    <x v="0"/>
    <x v="0"/>
    <x v="0"/>
    <x v="343"/>
    <x v="0"/>
    <x v="22"/>
    <n v="3459.34"/>
    <n v="3459.34"/>
    <n v="0"/>
    <n v="1"/>
  </r>
  <r>
    <x v="3"/>
    <x v="0"/>
    <x v="0"/>
    <x v="0"/>
    <x v="344"/>
    <x v="0"/>
    <x v="10"/>
    <n v="3897.94"/>
    <n v="3897.94"/>
    <n v="0"/>
    <n v="1"/>
  </r>
  <r>
    <x v="3"/>
    <x v="0"/>
    <x v="0"/>
    <x v="0"/>
    <x v="345"/>
    <x v="0"/>
    <x v="150"/>
    <n v="10246.790000000001"/>
    <n v="10246.790000000001"/>
    <n v="0"/>
    <n v="1"/>
  </r>
  <r>
    <x v="3"/>
    <x v="0"/>
    <x v="0"/>
    <x v="0"/>
    <x v="346"/>
    <x v="0"/>
    <x v="93"/>
    <n v="17763.28"/>
    <n v="17763.28"/>
    <n v="0"/>
    <n v="1"/>
  </r>
  <r>
    <x v="3"/>
    <x v="0"/>
    <x v="0"/>
    <x v="0"/>
    <x v="347"/>
    <x v="0"/>
    <x v="87"/>
    <n v="2883.74"/>
    <n v="2883.74"/>
    <n v="0"/>
    <n v="1"/>
  </r>
  <r>
    <x v="3"/>
    <x v="0"/>
    <x v="0"/>
    <x v="0"/>
    <x v="348"/>
    <x v="0"/>
    <x v="155"/>
    <n v="4300.96"/>
    <n v="4300.96"/>
    <n v="0"/>
    <n v="1"/>
  </r>
  <r>
    <x v="3"/>
    <x v="0"/>
    <x v="0"/>
    <x v="0"/>
    <x v="349"/>
    <x v="0"/>
    <x v="39"/>
    <n v="3224.67"/>
    <n v="3224.67"/>
    <n v="0"/>
    <n v="1"/>
  </r>
  <r>
    <x v="3"/>
    <x v="0"/>
    <x v="0"/>
    <x v="0"/>
    <x v="350"/>
    <x v="0"/>
    <x v="237"/>
    <n v="3004.12"/>
    <n v="3004.12"/>
    <n v="0"/>
    <n v="1"/>
  </r>
  <r>
    <x v="3"/>
    <x v="0"/>
    <x v="0"/>
    <x v="0"/>
    <x v="351"/>
    <x v="0"/>
    <x v="238"/>
    <n v="1799.31"/>
    <n v="1799.31"/>
    <n v="0"/>
    <n v="1"/>
  </r>
  <r>
    <x v="3"/>
    <x v="0"/>
    <x v="0"/>
    <x v="0"/>
    <x v="352"/>
    <x v="0"/>
    <x v="239"/>
    <n v="4394.68"/>
    <n v="4394.68"/>
    <n v="0"/>
    <n v="1"/>
  </r>
  <r>
    <x v="3"/>
    <x v="0"/>
    <x v="0"/>
    <x v="0"/>
    <x v="353"/>
    <x v="0"/>
    <x v="240"/>
    <n v="4733.3500000000004"/>
    <n v="4733.3500000000004"/>
    <n v="0"/>
    <n v="1"/>
  </r>
  <r>
    <x v="3"/>
    <x v="0"/>
    <x v="0"/>
    <x v="0"/>
    <x v="354"/>
    <x v="0"/>
    <x v="37"/>
    <n v="3251.84"/>
    <n v="3251.84"/>
    <n v="0"/>
    <n v="1"/>
  </r>
  <r>
    <x v="3"/>
    <x v="0"/>
    <x v="0"/>
    <x v="0"/>
    <x v="355"/>
    <x v="0"/>
    <x v="241"/>
    <n v="1988.58"/>
    <n v="1988.58"/>
    <n v="0"/>
    <n v="1"/>
  </r>
  <r>
    <x v="3"/>
    <x v="0"/>
    <x v="0"/>
    <x v="0"/>
    <x v="356"/>
    <x v="0"/>
    <x v="242"/>
    <n v="1746.57"/>
    <n v="1746.57"/>
    <n v="0"/>
    <n v="1"/>
  </r>
  <r>
    <x v="3"/>
    <x v="0"/>
    <x v="0"/>
    <x v="0"/>
    <x v="357"/>
    <x v="0"/>
    <x v="243"/>
    <n v="3064.54"/>
    <n v="3064.54"/>
    <n v="0"/>
    <n v="1"/>
  </r>
  <r>
    <x v="3"/>
    <x v="0"/>
    <x v="0"/>
    <x v="0"/>
    <x v="358"/>
    <x v="0"/>
    <x v="171"/>
    <n v="2043.67"/>
    <n v="2043.67"/>
    <n v="0"/>
    <n v="1"/>
  </r>
  <r>
    <x v="3"/>
    <x v="0"/>
    <x v="0"/>
    <x v="0"/>
    <x v="359"/>
    <x v="0"/>
    <x v="244"/>
    <n v="1960.61"/>
    <n v="1960.61"/>
    <n v="0"/>
    <n v="1"/>
  </r>
  <r>
    <x v="3"/>
    <x v="0"/>
    <x v="0"/>
    <x v="0"/>
    <x v="360"/>
    <x v="0"/>
    <x v="114"/>
    <n v="14746.17"/>
    <n v="14746.17"/>
    <n v="0"/>
    <n v="1"/>
  </r>
  <r>
    <x v="3"/>
    <x v="0"/>
    <x v="0"/>
    <x v="0"/>
    <x v="361"/>
    <x v="0"/>
    <x v="44"/>
    <n v="4888.55"/>
    <n v="4888.55"/>
    <n v="0"/>
    <n v="1"/>
  </r>
  <r>
    <x v="3"/>
    <x v="0"/>
    <x v="0"/>
    <x v="0"/>
    <x v="362"/>
    <x v="0"/>
    <x v="245"/>
    <n v="1999.71"/>
    <n v="1999.71"/>
    <n v="0"/>
    <n v="1"/>
  </r>
  <r>
    <x v="3"/>
    <x v="0"/>
    <x v="0"/>
    <x v="0"/>
    <x v="363"/>
    <x v="0"/>
    <x v="189"/>
    <n v="2140.88"/>
    <n v="2140.88"/>
    <n v="0"/>
    <n v="1"/>
  </r>
  <r>
    <x v="3"/>
    <x v="0"/>
    <x v="0"/>
    <x v="0"/>
    <x v="364"/>
    <x v="0"/>
    <x v="246"/>
    <n v="4185.41"/>
    <n v="4185.41"/>
    <n v="0"/>
    <n v="1"/>
  </r>
  <r>
    <x v="3"/>
    <x v="0"/>
    <x v="0"/>
    <x v="0"/>
    <x v="365"/>
    <x v="0"/>
    <x v="44"/>
    <n v="3147.89"/>
    <n v="3147.89"/>
    <n v="0"/>
    <n v="1"/>
  </r>
  <r>
    <x v="3"/>
    <x v="0"/>
    <x v="0"/>
    <x v="0"/>
    <x v="366"/>
    <x v="0"/>
    <x v="107"/>
    <n v="26638.77"/>
    <n v="26638.77"/>
    <n v="0"/>
    <n v="1"/>
  </r>
  <r>
    <x v="3"/>
    <x v="0"/>
    <x v="0"/>
    <x v="0"/>
    <x v="367"/>
    <x v="0"/>
    <x v="247"/>
    <n v="2068.14"/>
    <n v="2068.14"/>
    <n v="0"/>
    <n v="1"/>
  </r>
  <r>
    <x v="3"/>
    <x v="0"/>
    <x v="0"/>
    <x v="0"/>
    <x v="368"/>
    <x v="0"/>
    <x v="196"/>
    <n v="15453.14"/>
    <n v="15453.14"/>
    <n v="0"/>
    <n v="1"/>
  </r>
  <r>
    <x v="3"/>
    <x v="0"/>
    <x v="0"/>
    <x v="0"/>
    <x v="369"/>
    <x v="0"/>
    <x v="248"/>
    <n v="3328.25"/>
    <n v="3328.25"/>
    <n v="0"/>
    <n v="1"/>
  </r>
  <r>
    <x v="3"/>
    <x v="0"/>
    <x v="0"/>
    <x v="0"/>
    <x v="370"/>
    <x v="0"/>
    <x v="188"/>
    <n v="1815.07"/>
    <n v="1815.07"/>
    <n v="0"/>
    <n v="1"/>
  </r>
  <r>
    <x v="3"/>
    <x v="0"/>
    <x v="0"/>
    <x v="0"/>
    <x v="371"/>
    <x v="0"/>
    <x v="92"/>
    <n v="5816.61"/>
    <n v="5816.61"/>
    <n v="0"/>
    <n v="1"/>
  </r>
  <r>
    <x v="3"/>
    <x v="0"/>
    <x v="0"/>
    <x v="0"/>
    <x v="372"/>
    <x v="0"/>
    <x v="100"/>
    <n v="2253"/>
    <n v="2253"/>
    <n v="0"/>
    <n v="1"/>
  </r>
  <r>
    <x v="3"/>
    <x v="0"/>
    <x v="0"/>
    <x v="0"/>
    <x v="373"/>
    <x v="0"/>
    <x v="120"/>
    <n v="8975.7900000000009"/>
    <n v="8975.7900000000009"/>
    <n v="0"/>
    <n v="1"/>
  </r>
  <r>
    <x v="3"/>
    <x v="0"/>
    <x v="0"/>
    <x v="0"/>
    <x v="374"/>
    <x v="0"/>
    <x v="148"/>
    <n v="3395.61"/>
    <n v="3395.61"/>
    <n v="0"/>
    <n v="1"/>
  </r>
  <r>
    <x v="3"/>
    <x v="0"/>
    <x v="0"/>
    <x v="0"/>
    <x v="375"/>
    <x v="0"/>
    <x v="161"/>
    <n v="3707.84"/>
    <n v="3707.84"/>
    <n v="0"/>
    <n v="1"/>
  </r>
  <r>
    <x v="3"/>
    <x v="0"/>
    <x v="0"/>
    <x v="0"/>
    <x v="376"/>
    <x v="0"/>
    <x v="249"/>
    <n v="4472.92"/>
    <n v="4472.92"/>
    <n v="0"/>
    <n v="1"/>
  </r>
  <r>
    <x v="3"/>
    <x v="0"/>
    <x v="0"/>
    <x v="0"/>
    <x v="377"/>
    <x v="0"/>
    <x v="239"/>
    <n v="1275.8399999999999"/>
    <n v="1275.8399999999999"/>
    <n v="0"/>
    <n v="1"/>
  </r>
  <r>
    <x v="3"/>
    <x v="0"/>
    <x v="0"/>
    <x v="0"/>
    <x v="378"/>
    <x v="0"/>
    <x v="91"/>
    <n v="16729.79"/>
    <n v="16729.79"/>
    <n v="0"/>
    <n v="1"/>
  </r>
  <r>
    <x v="3"/>
    <x v="0"/>
    <x v="0"/>
    <x v="0"/>
    <x v="379"/>
    <x v="0"/>
    <x v="250"/>
    <n v="3615.42"/>
    <n v="3615.42"/>
    <n v="0"/>
    <n v="1"/>
  </r>
  <r>
    <x v="3"/>
    <x v="0"/>
    <x v="0"/>
    <x v="0"/>
    <x v="380"/>
    <x v="0"/>
    <x v="187"/>
    <n v="3824.63"/>
    <n v="3824.63"/>
    <n v="0"/>
    <n v="1"/>
  </r>
  <r>
    <x v="3"/>
    <x v="0"/>
    <x v="0"/>
    <x v="0"/>
    <x v="381"/>
    <x v="0"/>
    <x v="108"/>
    <n v="4916.18"/>
    <n v="4916.18"/>
    <n v="0"/>
    <n v="1"/>
  </r>
  <r>
    <x v="3"/>
    <x v="0"/>
    <x v="0"/>
    <x v="0"/>
    <x v="382"/>
    <x v="0"/>
    <x v="251"/>
    <n v="7059.43"/>
    <n v="7059.43"/>
    <n v="0"/>
    <n v="1"/>
  </r>
  <r>
    <x v="3"/>
    <x v="0"/>
    <x v="0"/>
    <x v="0"/>
    <x v="383"/>
    <x v="0"/>
    <x v="150"/>
    <n v="19260.53"/>
    <n v="19260.53"/>
    <n v="0"/>
    <n v="1"/>
  </r>
  <r>
    <x v="3"/>
    <x v="0"/>
    <x v="0"/>
    <x v="0"/>
    <x v="384"/>
    <x v="0"/>
    <x v="29"/>
    <n v="2116.59"/>
    <n v="2116.59"/>
    <n v="0"/>
    <n v="1"/>
  </r>
  <r>
    <x v="3"/>
    <x v="0"/>
    <x v="0"/>
    <x v="0"/>
    <x v="385"/>
    <x v="0"/>
    <x v="243"/>
    <n v="2495.21"/>
    <n v="2495.21"/>
    <n v="0"/>
    <n v="1"/>
  </r>
  <r>
    <x v="3"/>
    <x v="0"/>
    <x v="0"/>
    <x v="0"/>
    <x v="386"/>
    <x v="0"/>
    <x v="252"/>
    <n v="5969.86"/>
    <n v="5969.86"/>
    <n v="0"/>
    <n v="1"/>
  </r>
  <r>
    <x v="3"/>
    <x v="0"/>
    <x v="0"/>
    <x v="0"/>
    <x v="387"/>
    <x v="0"/>
    <x v="251"/>
    <n v="5132.43"/>
    <n v="5132.43"/>
    <n v="0"/>
    <n v="1"/>
  </r>
  <r>
    <x v="3"/>
    <x v="0"/>
    <x v="0"/>
    <x v="0"/>
    <x v="388"/>
    <x v="0"/>
    <x v="70"/>
    <n v="3530.6"/>
    <n v="3530.6"/>
    <n v="0"/>
    <n v="1"/>
  </r>
  <r>
    <x v="3"/>
    <x v="0"/>
    <x v="0"/>
    <x v="0"/>
    <x v="389"/>
    <x v="0"/>
    <x v="179"/>
    <n v="9484.81"/>
    <n v="9484.81"/>
    <n v="0"/>
    <n v="1"/>
  </r>
  <r>
    <x v="3"/>
    <x v="0"/>
    <x v="0"/>
    <x v="0"/>
    <x v="390"/>
    <x v="0"/>
    <x v="253"/>
    <n v="6739.66"/>
    <n v="6739.66"/>
    <n v="0"/>
    <n v="1"/>
  </r>
  <r>
    <x v="3"/>
    <x v="0"/>
    <x v="0"/>
    <x v="0"/>
    <x v="391"/>
    <x v="0"/>
    <x v="77"/>
    <n v="2532.25"/>
    <n v="2532.25"/>
    <n v="0"/>
    <n v="1"/>
  </r>
  <r>
    <x v="3"/>
    <x v="0"/>
    <x v="0"/>
    <x v="0"/>
    <x v="392"/>
    <x v="0"/>
    <x v="45"/>
    <n v="2517.0100000000002"/>
    <n v="2517.0100000000002"/>
    <n v="0"/>
    <n v="1"/>
  </r>
  <r>
    <x v="3"/>
    <x v="0"/>
    <x v="0"/>
    <x v="0"/>
    <x v="393"/>
    <x v="0"/>
    <x v="70"/>
    <n v="3245.58"/>
    <n v="3245.58"/>
    <n v="0"/>
    <n v="1"/>
  </r>
  <r>
    <x v="3"/>
    <x v="0"/>
    <x v="0"/>
    <x v="0"/>
    <x v="394"/>
    <x v="0"/>
    <x v="11"/>
    <n v="3532.61"/>
    <n v="3532.61"/>
    <n v="0"/>
    <n v="1"/>
  </r>
  <r>
    <x v="3"/>
    <x v="0"/>
    <x v="0"/>
    <x v="0"/>
    <x v="395"/>
    <x v="0"/>
    <x v="26"/>
    <n v="1328.12"/>
    <n v="1328.12"/>
    <n v="0"/>
    <n v="1"/>
  </r>
  <r>
    <x v="3"/>
    <x v="0"/>
    <x v="0"/>
    <x v="0"/>
    <x v="396"/>
    <x v="0"/>
    <x v="17"/>
    <n v="2759.56"/>
    <n v="2759.56"/>
    <n v="0"/>
    <n v="1"/>
  </r>
  <r>
    <x v="3"/>
    <x v="0"/>
    <x v="0"/>
    <x v="0"/>
    <x v="397"/>
    <x v="0"/>
    <x v="153"/>
    <n v="6978.84"/>
    <n v="6978.84"/>
    <n v="0"/>
    <n v="1"/>
  </r>
  <r>
    <x v="3"/>
    <x v="0"/>
    <x v="0"/>
    <x v="0"/>
    <x v="398"/>
    <x v="0"/>
    <x v="175"/>
    <n v="10211.549999999999"/>
    <n v="10211.549999999999"/>
    <n v="0"/>
    <n v="1"/>
  </r>
  <r>
    <x v="3"/>
    <x v="0"/>
    <x v="0"/>
    <x v="0"/>
    <x v="399"/>
    <x v="0"/>
    <x v="254"/>
    <n v="2812.7"/>
    <n v="2812.7"/>
    <n v="0"/>
    <n v="1"/>
  </r>
  <r>
    <x v="3"/>
    <x v="0"/>
    <x v="0"/>
    <x v="0"/>
    <x v="400"/>
    <x v="0"/>
    <x v="43"/>
    <n v="1747.48"/>
    <n v="1747.48"/>
    <n v="0"/>
    <n v="1"/>
  </r>
  <r>
    <x v="3"/>
    <x v="0"/>
    <x v="0"/>
    <x v="0"/>
    <x v="401"/>
    <x v="0"/>
    <x v="93"/>
    <n v="21646.51"/>
    <n v="21646.51"/>
    <n v="0"/>
    <n v="1"/>
  </r>
  <r>
    <x v="3"/>
    <x v="0"/>
    <x v="0"/>
    <x v="0"/>
    <x v="402"/>
    <x v="6"/>
    <x v="255"/>
    <n v="-12433.96"/>
    <n v="-12433.96"/>
    <n v="0"/>
    <n v="1"/>
  </r>
  <r>
    <x v="3"/>
    <x v="0"/>
    <x v="0"/>
    <x v="0"/>
    <x v="403"/>
    <x v="0"/>
    <x v="256"/>
    <n v="1687.04"/>
    <n v="1687.04"/>
    <n v="0"/>
    <n v="1"/>
  </r>
  <r>
    <x v="3"/>
    <x v="0"/>
    <x v="0"/>
    <x v="0"/>
    <x v="404"/>
    <x v="0"/>
    <x v="217"/>
    <n v="658.64"/>
    <n v="658.64"/>
    <n v="0"/>
    <n v="1"/>
  </r>
  <r>
    <x v="3"/>
    <x v="0"/>
    <x v="0"/>
    <x v="0"/>
    <x v="405"/>
    <x v="0"/>
    <x v="257"/>
    <n v="481.6"/>
    <n v="481.6"/>
    <n v="0"/>
    <n v="1"/>
  </r>
  <r>
    <x v="3"/>
    <x v="0"/>
    <x v="0"/>
    <x v="0"/>
    <x v="406"/>
    <x v="0"/>
    <x v="258"/>
    <n v="430.88"/>
    <n v="430.88"/>
    <n v="0"/>
    <n v="1"/>
  </r>
  <r>
    <x v="3"/>
    <x v="0"/>
    <x v="0"/>
    <x v="0"/>
    <x v="407"/>
    <x v="0"/>
    <x v="259"/>
    <n v="399.36"/>
    <n v="399.36"/>
    <n v="0"/>
    <n v="1"/>
  </r>
  <r>
    <x v="3"/>
    <x v="0"/>
    <x v="0"/>
    <x v="0"/>
    <x v="408"/>
    <x v="0"/>
    <x v="260"/>
    <n v="319.93"/>
    <n v="319.93"/>
    <n v="0"/>
    <n v="1"/>
  </r>
  <r>
    <x v="3"/>
    <x v="0"/>
    <x v="0"/>
    <x v="0"/>
    <x v="409"/>
    <x v="0"/>
    <x v="223"/>
    <n v="153.49"/>
    <n v="153.49"/>
    <n v="0"/>
    <n v="1"/>
  </r>
  <r>
    <x v="3"/>
    <x v="0"/>
    <x v="0"/>
    <x v="0"/>
    <x v="410"/>
    <x v="6"/>
    <x v="261"/>
    <n v="-9688"/>
    <n v="-9688"/>
    <n v="0"/>
    <n v="1"/>
  </r>
  <r>
    <x v="3"/>
    <x v="0"/>
    <x v="0"/>
    <x v="0"/>
    <x v="411"/>
    <x v="0"/>
    <x v="104"/>
    <n v="8198.6200000000008"/>
    <n v="8198.6200000000008"/>
    <n v="0"/>
    <n v="1"/>
  </r>
  <r>
    <x v="3"/>
    <x v="0"/>
    <x v="0"/>
    <x v="0"/>
    <x v="412"/>
    <x v="6"/>
    <x v="262"/>
    <n v="-33206.160000000003"/>
    <n v="-33206.160000000003"/>
    <n v="0"/>
    <n v="1"/>
  </r>
  <r>
    <x v="3"/>
    <x v="0"/>
    <x v="0"/>
    <x v="0"/>
    <x v="413"/>
    <x v="6"/>
    <x v="263"/>
    <n v="-33637.68"/>
    <n v="-33637.68"/>
    <n v="0"/>
    <n v="1"/>
  </r>
  <r>
    <x v="3"/>
    <x v="0"/>
    <x v="0"/>
    <x v="0"/>
    <x v="414"/>
    <x v="6"/>
    <x v="264"/>
    <n v="-56772"/>
    <n v="-56772"/>
    <n v="0"/>
    <n v="1"/>
  </r>
  <r>
    <x v="3"/>
    <x v="0"/>
    <x v="0"/>
    <x v="0"/>
    <x v="415"/>
    <x v="6"/>
    <x v="265"/>
    <n v="-67129.66"/>
    <n v="-67129.66"/>
    <n v="0"/>
    <n v="1"/>
  </r>
  <r>
    <x v="3"/>
    <x v="0"/>
    <x v="0"/>
    <x v="0"/>
    <x v="416"/>
    <x v="0"/>
    <x v="113"/>
    <n v="5369.53"/>
    <n v="5369.53"/>
    <n v="0"/>
    <n v="1"/>
  </r>
  <r>
    <x v="3"/>
    <x v="0"/>
    <x v="0"/>
    <x v="0"/>
    <x v="417"/>
    <x v="6"/>
    <x v="266"/>
    <n v="-69711"/>
    <n v="-69711"/>
    <n v="0"/>
    <n v="1"/>
  </r>
  <r>
    <x v="3"/>
    <x v="0"/>
    <x v="0"/>
    <x v="0"/>
    <x v="418"/>
    <x v="6"/>
    <x v="267"/>
    <n v="-82328.399999999994"/>
    <n v="-82328.399999999994"/>
    <n v="0"/>
    <n v="1"/>
  </r>
  <r>
    <x v="3"/>
    <x v="0"/>
    <x v="0"/>
    <x v="0"/>
    <x v="419"/>
    <x v="6"/>
    <x v="268"/>
    <n v="-172458"/>
    <n v="-172458"/>
    <n v="0"/>
    <n v="1"/>
  </r>
  <r>
    <x v="3"/>
    <x v="0"/>
    <x v="0"/>
    <x v="0"/>
    <x v="420"/>
    <x v="6"/>
    <x v="269"/>
    <n v="-214404.63"/>
    <n v="-214404.63"/>
    <n v="0"/>
    <n v="1"/>
  </r>
  <r>
    <x v="3"/>
    <x v="0"/>
    <x v="0"/>
    <x v="0"/>
    <x v="421"/>
    <x v="0"/>
    <x v="13"/>
    <n v="5094.58"/>
    <n v="5094.58"/>
    <n v="0"/>
    <n v="1"/>
  </r>
  <r>
    <x v="3"/>
    <x v="0"/>
    <x v="0"/>
    <x v="0"/>
    <x v="422"/>
    <x v="0"/>
    <x v="96"/>
    <n v="1148.95"/>
    <n v="1148.95"/>
    <n v="0"/>
    <n v="1"/>
  </r>
  <r>
    <x v="3"/>
    <x v="0"/>
    <x v="0"/>
    <x v="0"/>
    <x v="423"/>
    <x v="0"/>
    <x v="97"/>
    <n v="18840.28"/>
    <n v="18840.28"/>
    <n v="0"/>
    <n v="1"/>
  </r>
  <r>
    <x v="3"/>
    <x v="0"/>
    <x v="0"/>
    <x v="0"/>
    <x v="424"/>
    <x v="0"/>
    <x v="89"/>
    <n v="4386.16"/>
    <n v="4386.16"/>
    <n v="0"/>
    <n v="1"/>
  </r>
  <r>
    <x v="3"/>
    <x v="0"/>
    <x v="0"/>
    <x v="0"/>
    <x v="425"/>
    <x v="0"/>
    <x v="270"/>
    <n v="1452.32"/>
    <n v="1452.32"/>
    <n v="0"/>
    <n v="1"/>
  </r>
  <r>
    <x v="3"/>
    <x v="0"/>
    <x v="0"/>
    <x v="0"/>
    <x v="426"/>
    <x v="0"/>
    <x v="101"/>
    <n v="14421.38"/>
    <n v="14421.38"/>
    <n v="0"/>
    <n v="1"/>
  </r>
  <r>
    <x v="3"/>
    <x v="0"/>
    <x v="0"/>
    <x v="0"/>
    <x v="427"/>
    <x v="0"/>
    <x v="98"/>
    <n v="5391.96"/>
    <n v="5391.96"/>
    <n v="0"/>
    <n v="1"/>
  </r>
  <r>
    <x v="3"/>
    <x v="0"/>
    <x v="0"/>
    <x v="0"/>
    <x v="428"/>
    <x v="0"/>
    <x v="0"/>
    <n v="25939.43"/>
    <n v="25939.43"/>
    <n v="0"/>
    <n v="1"/>
  </r>
  <r>
    <x v="3"/>
    <x v="0"/>
    <x v="0"/>
    <x v="0"/>
    <x v="429"/>
    <x v="0"/>
    <x v="271"/>
    <n v="1690.96"/>
    <n v="1690.96"/>
    <n v="0"/>
    <n v="1"/>
  </r>
  <r>
    <x v="3"/>
    <x v="0"/>
    <x v="0"/>
    <x v="0"/>
    <x v="430"/>
    <x v="6"/>
    <x v="272"/>
    <n v="-77154.09"/>
    <n v="-77154.09"/>
    <n v="0"/>
    <n v="1"/>
  </r>
  <r>
    <x v="3"/>
    <x v="0"/>
    <x v="0"/>
    <x v="0"/>
    <x v="431"/>
    <x v="0"/>
    <x v="273"/>
    <n v="10643.23"/>
    <n v="10643.23"/>
    <n v="0"/>
    <n v="1"/>
  </r>
  <r>
    <x v="3"/>
    <x v="0"/>
    <x v="0"/>
    <x v="0"/>
    <x v="432"/>
    <x v="6"/>
    <x v="274"/>
    <n v="-31988.15"/>
    <n v="-31988.15"/>
    <n v="0"/>
    <n v="1"/>
  </r>
  <r>
    <x v="3"/>
    <x v="0"/>
    <x v="0"/>
    <x v="0"/>
    <x v="433"/>
    <x v="0"/>
    <x v="185"/>
    <n v="767.44"/>
    <n v="767.44"/>
    <n v="0"/>
    <n v="1"/>
  </r>
  <r>
    <x v="3"/>
    <x v="0"/>
    <x v="0"/>
    <x v="0"/>
    <x v="434"/>
    <x v="0"/>
    <x v="48"/>
    <n v="1680.12"/>
    <n v="1680.12"/>
    <n v="0"/>
    <n v="1"/>
  </r>
  <r>
    <x v="3"/>
    <x v="0"/>
    <x v="0"/>
    <x v="0"/>
    <x v="435"/>
    <x v="0"/>
    <x v="188"/>
    <n v="1676.24"/>
    <n v="1676.24"/>
    <n v="0"/>
    <n v="1"/>
  </r>
  <r>
    <x v="3"/>
    <x v="0"/>
    <x v="0"/>
    <x v="0"/>
    <x v="436"/>
    <x v="0"/>
    <x v="196"/>
    <n v="5728.03"/>
    <n v="5728.03"/>
    <n v="0"/>
    <n v="1"/>
  </r>
  <r>
    <x v="3"/>
    <x v="0"/>
    <x v="0"/>
    <x v="0"/>
    <x v="437"/>
    <x v="0"/>
    <x v="275"/>
    <n v="1474.34"/>
    <n v="1474.34"/>
    <n v="0"/>
    <n v="1"/>
  </r>
  <r>
    <x v="3"/>
    <x v="0"/>
    <x v="0"/>
    <x v="0"/>
    <x v="438"/>
    <x v="0"/>
    <x v="158"/>
    <n v="1450.67"/>
    <n v="1450.67"/>
    <n v="0"/>
    <n v="1"/>
  </r>
  <r>
    <x v="3"/>
    <x v="0"/>
    <x v="0"/>
    <x v="0"/>
    <x v="439"/>
    <x v="0"/>
    <x v="276"/>
    <n v="711.47"/>
    <n v="711.47"/>
    <n v="0"/>
    <n v="1"/>
  </r>
  <r>
    <x v="3"/>
    <x v="0"/>
    <x v="0"/>
    <x v="0"/>
    <x v="440"/>
    <x v="0"/>
    <x v="96"/>
    <n v="1368.93"/>
    <n v="1368.93"/>
    <n v="0"/>
    <n v="1"/>
  </r>
  <r>
    <x v="3"/>
    <x v="0"/>
    <x v="0"/>
    <x v="0"/>
    <x v="441"/>
    <x v="0"/>
    <x v="32"/>
    <n v="1395.93"/>
    <n v="1395.93"/>
    <n v="0"/>
    <n v="1"/>
  </r>
  <r>
    <x v="3"/>
    <x v="0"/>
    <x v="0"/>
    <x v="0"/>
    <x v="442"/>
    <x v="0"/>
    <x v="33"/>
    <n v="1388.1"/>
    <n v="1388.1"/>
    <n v="0"/>
    <n v="1"/>
  </r>
  <r>
    <x v="3"/>
    <x v="0"/>
    <x v="0"/>
    <x v="0"/>
    <x v="443"/>
    <x v="0"/>
    <x v="96"/>
    <n v="2935.65"/>
    <n v="2935.65"/>
    <n v="0"/>
    <n v="1"/>
  </r>
  <r>
    <x v="3"/>
    <x v="0"/>
    <x v="0"/>
    <x v="0"/>
    <x v="444"/>
    <x v="0"/>
    <x v="170"/>
    <n v="550.15"/>
    <n v="550.15"/>
    <n v="0"/>
    <n v="1"/>
  </r>
  <r>
    <x v="3"/>
    <x v="0"/>
    <x v="0"/>
    <x v="0"/>
    <x v="445"/>
    <x v="0"/>
    <x v="76"/>
    <n v="1292.1500000000001"/>
    <n v="1292.1500000000001"/>
    <n v="0"/>
    <n v="1"/>
  </r>
  <r>
    <x v="3"/>
    <x v="0"/>
    <x v="0"/>
    <x v="0"/>
    <x v="446"/>
    <x v="0"/>
    <x v="277"/>
    <n v="29625.43"/>
    <n v="29625.43"/>
    <n v="0"/>
    <n v="1"/>
  </r>
  <r>
    <x v="3"/>
    <x v="0"/>
    <x v="0"/>
    <x v="0"/>
    <x v="447"/>
    <x v="0"/>
    <x v="246"/>
    <n v="800.76"/>
    <n v="800.76"/>
    <n v="0"/>
    <n v="1"/>
  </r>
  <r>
    <x v="3"/>
    <x v="0"/>
    <x v="0"/>
    <x v="0"/>
    <x v="448"/>
    <x v="0"/>
    <x v="151"/>
    <n v="1127.06"/>
    <n v="1127.06"/>
    <n v="0"/>
    <n v="1"/>
  </r>
  <r>
    <x v="3"/>
    <x v="0"/>
    <x v="0"/>
    <x v="0"/>
    <x v="449"/>
    <x v="0"/>
    <x v="278"/>
    <n v="1287.56"/>
    <n v="1287.56"/>
    <n v="0"/>
    <n v="1"/>
  </r>
  <r>
    <x v="3"/>
    <x v="0"/>
    <x v="0"/>
    <x v="0"/>
    <x v="450"/>
    <x v="0"/>
    <x v="279"/>
    <n v="951.4"/>
    <n v="951.4"/>
    <n v="0"/>
    <n v="1"/>
  </r>
  <r>
    <x v="3"/>
    <x v="0"/>
    <x v="0"/>
    <x v="0"/>
    <x v="451"/>
    <x v="0"/>
    <x v="15"/>
    <n v="971.09"/>
    <n v="971.09"/>
    <n v="0"/>
    <n v="1"/>
  </r>
  <r>
    <x v="3"/>
    <x v="0"/>
    <x v="0"/>
    <x v="0"/>
    <x v="452"/>
    <x v="0"/>
    <x v="163"/>
    <n v="889.29"/>
    <n v="889.29"/>
    <n v="0"/>
    <n v="1"/>
  </r>
  <r>
    <x v="3"/>
    <x v="0"/>
    <x v="0"/>
    <x v="0"/>
    <x v="453"/>
    <x v="0"/>
    <x v="280"/>
    <n v="1060.26"/>
    <n v="1060.26"/>
    <n v="0"/>
    <n v="1"/>
  </r>
  <r>
    <x v="3"/>
    <x v="0"/>
    <x v="0"/>
    <x v="0"/>
    <x v="454"/>
    <x v="0"/>
    <x v="91"/>
    <n v="8321.5499999999993"/>
    <n v="8321.5499999999993"/>
    <n v="0"/>
    <n v="1"/>
  </r>
  <r>
    <x v="3"/>
    <x v="0"/>
    <x v="0"/>
    <x v="0"/>
    <x v="455"/>
    <x v="0"/>
    <x v="195"/>
    <n v="1049.2"/>
    <n v="1049.2"/>
    <n v="0"/>
    <n v="1"/>
  </r>
  <r>
    <x v="3"/>
    <x v="0"/>
    <x v="0"/>
    <x v="0"/>
    <x v="456"/>
    <x v="0"/>
    <x v="33"/>
    <n v="1116.06"/>
    <n v="1116.06"/>
    <n v="0"/>
    <n v="1"/>
  </r>
  <r>
    <x v="3"/>
    <x v="0"/>
    <x v="0"/>
    <x v="0"/>
    <x v="457"/>
    <x v="0"/>
    <x v="281"/>
    <n v="876.85"/>
    <n v="876.85"/>
    <n v="0"/>
    <n v="1"/>
  </r>
  <r>
    <x v="3"/>
    <x v="0"/>
    <x v="0"/>
    <x v="0"/>
    <x v="458"/>
    <x v="0"/>
    <x v="73"/>
    <n v="1093.02"/>
    <n v="1093.02"/>
    <n v="0"/>
    <n v="1"/>
  </r>
  <r>
    <x v="3"/>
    <x v="2"/>
    <x v="11"/>
    <x v="10"/>
    <x v="459"/>
    <x v="5"/>
    <x v="181"/>
    <n v="6070.35"/>
    <n v="6070.35"/>
    <n v="0"/>
    <n v="1"/>
  </r>
  <r>
    <x v="3"/>
    <x v="0"/>
    <x v="11"/>
    <x v="10"/>
    <x v="460"/>
    <x v="0"/>
    <x v="107"/>
    <n v="18200.240000000002"/>
    <n v="18200.240000000002"/>
    <n v="0"/>
    <n v="1"/>
  </r>
  <r>
    <x v="3"/>
    <x v="2"/>
    <x v="11"/>
    <x v="10"/>
    <x v="461"/>
    <x v="5"/>
    <x v="282"/>
    <n v="2373.7399999999998"/>
    <n v="2373.7399999999998"/>
    <n v="0"/>
    <n v="1"/>
  </r>
  <r>
    <x v="3"/>
    <x v="0"/>
    <x v="11"/>
    <x v="10"/>
    <x v="462"/>
    <x v="6"/>
    <x v="283"/>
    <n v="-10621.94"/>
    <n v="-10621.94"/>
    <n v="0"/>
    <n v="1"/>
  </r>
  <r>
    <x v="3"/>
    <x v="0"/>
    <x v="11"/>
    <x v="10"/>
    <x v="463"/>
    <x v="0"/>
    <x v="284"/>
    <n v="215.44"/>
    <n v="215.44"/>
    <n v="0"/>
    <n v="1"/>
  </r>
  <r>
    <x v="3"/>
    <x v="0"/>
    <x v="11"/>
    <x v="10"/>
    <x v="464"/>
    <x v="6"/>
    <x v="285"/>
    <n v="-43721.02"/>
    <n v="-43721.02"/>
    <n v="0"/>
    <n v="1"/>
  </r>
  <r>
    <x v="3"/>
    <x v="0"/>
    <x v="11"/>
    <x v="10"/>
    <x v="465"/>
    <x v="6"/>
    <x v="286"/>
    <n v="-106330.08"/>
    <n v="-106330.08"/>
    <n v="0"/>
    <n v="1"/>
  </r>
  <r>
    <x v="3"/>
    <x v="0"/>
    <x v="11"/>
    <x v="10"/>
    <x v="466"/>
    <x v="0"/>
    <x v="166"/>
    <n v="430.74"/>
    <n v="430.74"/>
    <n v="0"/>
    <n v="1"/>
  </r>
  <r>
    <x v="3"/>
    <x v="0"/>
    <x v="11"/>
    <x v="10"/>
    <x v="467"/>
    <x v="6"/>
    <x v="287"/>
    <n v="-517044.24"/>
    <n v="-517044.24"/>
    <n v="0"/>
    <n v="1"/>
  </r>
  <r>
    <x v="3"/>
    <x v="0"/>
    <x v="11"/>
    <x v="10"/>
    <x v="468"/>
    <x v="0"/>
    <x v="113"/>
    <n v="11141.57"/>
    <n v="11141.57"/>
    <n v="0"/>
    <n v="1"/>
  </r>
  <r>
    <x v="3"/>
    <x v="0"/>
    <x v="11"/>
    <x v="10"/>
    <x v="469"/>
    <x v="0"/>
    <x v="92"/>
    <n v="3284.88"/>
    <n v="3284.88"/>
    <n v="0"/>
    <n v="1"/>
  </r>
  <r>
    <x v="3"/>
    <x v="0"/>
    <x v="11"/>
    <x v="10"/>
    <x v="470"/>
    <x v="0"/>
    <x v="157"/>
    <n v="4047.58"/>
    <n v="4047.58"/>
    <n v="0"/>
    <n v="1"/>
  </r>
  <r>
    <x v="3"/>
    <x v="0"/>
    <x v="11"/>
    <x v="10"/>
    <x v="471"/>
    <x v="0"/>
    <x v="113"/>
    <n v="4773.72"/>
    <n v="4773.72"/>
    <n v="0"/>
    <n v="1"/>
  </r>
  <r>
    <x v="3"/>
    <x v="0"/>
    <x v="11"/>
    <x v="10"/>
    <x v="472"/>
    <x v="0"/>
    <x v="37"/>
    <n v="4007.27"/>
    <n v="4007.27"/>
    <n v="0"/>
    <n v="1"/>
  </r>
  <r>
    <x v="3"/>
    <x v="0"/>
    <x v="11"/>
    <x v="10"/>
    <x v="473"/>
    <x v="0"/>
    <x v="98"/>
    <n v="7537.75"/>
    <n v="7537.75"/>
    <n v="0"/>
    <n v="1"/>
  </r>
  <r>
    <x v="3"/>
    <x v="0"/>
    <x v="11"/>
    <x v="10"/>
    <x v="474"/>
    <x v="0"/>
    <x v="13"/>
    <n v="6938.67"/>
    <n v="6938.67"/>
    <n v="0"/>
    <n v="1"/>
  </r>
  <r>
    <x v="3"/>
    <x v="0"/>
    <x v="11"/>
    <x v="10"/>
    <x v="475"/>
    <x v="0"/>
    <x v="97"/>
    <n v="13699.55"/>
    <n v="13699.55"/>
    <n v="0"/>
    <n v="1"/>
  </r>
  <r>
    <x v="3"/>
    <x v="0"/>
    <x v="11"/>
    <x v="10"/>
    <x v="476"/>
    <x v="0"/>
    <x v="14"/>
    <n v="4005.13"/>
    <n v="4005.13"/>
    <n v="0"/>
    <n v="1"/>
  </r>
  <r>
    <x v="3"/>
    <x v="0"/>
    <x v="11"/>
    <x v="10"/>
    <x v="477"/>
    <x v="0"/>
    <x v="173"/>
    <n v="2663.6"/>
    <n v="2663.6"/>
    <n v="0"/>
    <n v="1"/>
  </r>
  <r>
    <x v="3"/>
    <x v="0"/>
    <x v="11"/>
    <x v="10"/>
    <x v="478"/>
    <x v="0"/>
    <x v="90"/>
    <n v="5330.1"/>
    <n v="5330.1"/>
    <n v="0"/>
    <n v="1"/>
  </r>
  <r>
    <x v="3"/>
    <x v="0"/>
    <x v="11"/>
    <x v="10"/>
    <x v="479"/>
    <x v="0"/>
    <x v="199"/>
    <n v="933.49"/>
    <n v="933.49"/>
    <n v="0"/>
    <n v="1"/>
  </r>
  <r>
    <x v="3"/>
    <x v="0"/>
    <x v="11"/>
    <x v="10"/>
    <x v="480"/>
    <x v="0"/>
    <x v="37"/>
    <n v="2753.5"/>
    <n v="2753.5"/>
    <n v="0"/>
    <n v="1"/>
  </r>
  <r>
    <x v="3"/>
    <x v="0"/>
    <x v="11"/>
    <x v="10"/>
    <x v="481"/>
    <x v="0"/>
    <x v="96"/>
    <n v="3311.5"/>
    <n v="3311.5"/>
    <n v="0"/>
    <n v="1"/>
  </r>
  <r>
    <x v="3"/>
    <x v="0"/>
    <x v="11"/>
    <x v="10"/>
    <x v="482"/>
    <x v="0"/>
    <x v="288"/>
    <n v="1531.49"/>
    <n v="1531.49"/>
    <n v="0"/>
    <n v="1"/>
  </r>
  <r>
    <x v="3"/>
    <x v="0"/>
    <x v="11"/>
    <x v="10"/>
    <x v="483"/>
    <x v="0"/>
    <x v="103"/>
    <n v="5785.66"/>
    <n v="5785.66"/>
    <n v="0"/>
    <n v="1"/>
  </r>
  <r>
    <x v="3"/>
    <x v="0"/>
    <x v="11"/>
    <x v="10"/>
    <x v="484"/>
    <x v="0"/>
    <x v="289"/>
    <n v="1063.8399999999999"/>
    <n v="1063.8399999999999"/>
    <n v="0"/>
    <n v="1"/>
  </r>
  <r>
    <x v="3"/>
    <x v="0"/>
    <x v="11"/>
    <x v="10"/>
    <x v="485"/>
    <x v="0"/>
    <x v="187"/>
    <n v="1331.86"/>
    <n v="1331.86"/>
    <n v="0"/>
    <n v="1"/>
  </r>
  <r>
    <x v="3"/>
    <x v="0"/>
    <x v="11"/>
    <x v="10"/>
    <x v="486"/>
    <x v="0"/>
    <x v="86"/>
    <n v="1251.07"/>
    <n v="1251.07"/>
    <n v="0"/>
    <n v="1"/>
  </r>
  <r>
    <x v="3"/>
    <x v="0"/>
    <x v="11"/>
    <x v="10"/>
    <x v="487"/>
    <x v="0"/>
    <x v="194"/>
    <n v="1117.42"/>
    <n v="1117.42"/>
    <n v="0"/>
    <n v="1"/>
  </r>
  <r>
    <x v="3"/>
    <x v="0"/>
    <x v="11"/>
    <x v="10"/>
    <x v="488"/>
    <x v="0"/>
    <x v="16"/>
    <n v="2932.02"/>
    <n v="2932.02"/>
    <n v="0"/>
    <n v="1"/>
  </r>
  <r>
    <x v="3"/>
    <x v="0"/>
    <x v="11"/>
    <x v="10"/>
    <x v="489"/>
    <x v="0"/>
    <x v="290"/>
    <n v="3117.86"/>
    <n v="3117.86"/>
    <n v="0"/>
    <n v="1"/>
  </r>
  <r>
    <x v="3"/>
    <x v="0"/>
    <x v="11"/>
    <x v="10"/>
    <x v="490"/>
    <x v="0"/>
    <x v="225"/>
    <n v="3126.1"/>
    <n v="3126.1"/>
    <n v="0"/>
    <n v="1"/>
  </r>
  <r>
    <x v="3"/>
    <x v="0"/>
    <x v="11"/>
    <x v="10"/>
    <x v="491"/>
    <x v="0"/>
    <x v="291"/>
    <n v="3306.25"/>
    <n v="3306.25"/>
    <n v="0"/>
    <n v="1"/>
  </r>
  <r>
    <x v="3"/>
    <x v="0"/>
    <x v="11"/>
    <x v="10"/>
    <x v="492"/>
    <x v="0"/>
    <x v="292"/>
    <n v="3707.08"/>
    <n v="3707.08"/>
    <n v="0"/>
    <n v="1"/>
  </r>
  <r>
    <x v="3"/>
    <x v="0"/>
    <x v="11"/>
    <x v="10"/>
    <x v="493"/>
    <x v="0"/>
    <x v="41"/>
    <n v="3855.29"/>
    <n v="3855.29"/>
    <n v="0"/>
    <n v="1"/>
  </r>
  <r>
    <x v="3"/>
    <x v="0"/>
    <x v="11"/>
    <x v="10"/>
    <x v="494"/>
    <x v="0"/>
    <x v="293"/>
    <n v="4767.34"/>
    <n v="4767.34"/>
    <n v="0"/>
    <n v="1"/>
  </r>
  <r>
    <x v="3"/>
    <x v="0"/>
    <x v="11"/>
    <x v="10"/>
    <x v="495"/>
    <x v="0"/>
    <x v="155"/>
    <n v="5087.84"/>
    <n v="5087.84"/>
    <n v="0"/>
    <n v="1"/>
  </r>
  <r>
    <x v="3"/>
    <x v="0"/>
    <x v="11"/>
    <x v="10"/>
    <x v="496"/>
    <x v="0"/>
    <x v="294"/>
    <n v="5102.29"/>
    <n v="5102.29"/>
    <n v="0"/>
    <n v="1"/>
  </r>
  <r>
    <x v="3"/>
    <x v="0"/>
    <x v="11"/>
    <x v="10"/>
    <x v="497"/>
    <x v="0"/>
    <x v="158"/>
    <n v="5502.75"/>
    <n v="5502.75"/>
    <n v="0"/>
    <n v="1"/>
  </r>
  <r>
    <x v="3"/>
    <x v="0"/>
    <x v="11"/>
    <x v="10"/>
    <x v="498"/>
    <x v="0"/>
    <x v="295"/>
    <n v="7849.74"/>
    <n v="7849.74"/>
    <n v="0"/>
    <n v="1"/>
  </r>
  <r>
    <x v="3"/>
    <x v="0"/>
    <x v="11"/>
    <x v="10"/>
    <x v="499"/>
    <x v="0"/>
    <x v="295"/>
    <n v="9391.83"/>
    <n v="9391.83"/>
    <n v="0"/>
    <n v="1"/>
  </r>
  <r>
    <x v="3"/>
    <x v="0"/>
    <x v="11"/>
    <x v="10"/>
    <x v="500"/>
    <x v="0"/>
    <x v="296"/>
    <n v="3505.91"/>
    <n v="3505.91"/>
    <n v="0"/>
    <n v="1"/>
  </r>
  <r>
    <x v="3"/>
    <x v="0"/>
    <x v="11"/>
    <x v="10"/>
    <x v="501"/>
    <x v="0"/>
    <x v="21"/>
    <n v="972.72"/>
    <n v="972.72"/>
    <n v="0"/>
    <n v="1"/>
  </r>
  <r>
    <x v="3"/>
    <x v="0"/>
    <x v="11"/>
    <x v="10"/>
    <x v="502"/>
    <x v="0"/>
    <x v="97"/>
    <n v="13798.33"/>
    <n v="13798.33"/>
    <n v="0"/>
    <n v="1"/>
  </r>
  <r>
    <x v="3"/>
    <x v="0"/>
    <x v="11"/>
    <x v="10"/>
    <x v="503"/>
    <x v="0"/>
    <x v="48"/>
    <n v="533.21"/>
    <n v="533.21"/>
    <n v="0"/>
    <n v="1"/>
  </r>
  <r>
    <x v="3"/>
    <x v="0"/>
    <x v="11"/>
    <x v="10"/>
    <x v="504"/>
    <x v="0"/>
    <x v="189"/>
    <n v="1385"/>
    <n v="1385"/>
    <n v="0"/>
    <n v="1"/>
  </r>
  <r>
    <x v="3"/>
    <x v="0"/>
    <x v="11"/>
    <x v="10"/>
    <x v="505"/>
    <x v="0"/>
    <x v="40"/>
    <n v="3364.04"/>
    <n v="3364.04"/>
    <n v="0"/>
    <n v="1"/>
  </r>
  <r>
    <x v="3"/>
    <x v="0"/>
    <x v="11"/>
    <x v="10"/>
    <x v="506"/>
    <x v="0"/>
    <x v="0"/>
    <n v="8333.83"/>
    <n v="8333.83"/>
    <n v="0"/>
    <n v="1"/>
  </r>
  <r>
    <x v="3"/>
    <x v="0"/>
    <x v="11"/>
    <x v="10"/>
    <x v="507"/>
    <x v="0"/>
    <x v="164"/>
    <n v="2282.12"/>
    <n v="2282.12"/>
    <n v="0"/>
    <n v="1"/>
  </r>
  <r>
    <x v="3"/>
    <x v="0"/>
    <x v="11"/>
    <x v="10"/>
    <x v="508"/>
    <x v="0"/>
    <x v="148"/>
    <n v="2844.16"/>
    <n v="2844.16"/>
    <n v="0"/>
    <n v="1"/>
  </r>
  <r>
    <x v="3"/>
    <x v="0"/>
    <x v="11"/>
    <x v="10"/>
    <x v="509"/>
    <x v="0"/>
    <x v="297"/>
    <n v="1735.8"/>
    <n v="1735.8"/>
    <n v="0"/>
    <n v="1"/>
  </r>
  <r>
    <x v="3"/>
    <x v="0"/>
    <x v="11"/>
    <x v="10"/>
    <x v="510"/>
    <x v="0"/>
    <x v="23"/>
    <n v="2061.5500000000002"/>
    <n v="2061.5500000000002"/>
    <n v="0"/>
    <n v="1"/>
  </r>
  <r>
    <x v="3"/>
    <x v="0"/>
    <x v="11"/>
    <x v="10"/>
    <x v="511"/>
    <x v="0"/>
    <x v="298"/>
    <n v="1971.62"/>
    <n v="1971.62"/>
    <n v="0"/>
    <n v="1"/>
  </r>
  <r>
    <x v="3"/>
    <x v="0"/>
    <x v="11"/>
    <x v="10"/>
    <x v="512"/>
    <x v="0"/>
    <x v="112"/>
    <n v="4978.7700000000004"/>
    <n v="4978.7700000000004"/>
    <n v="0"/>
    <n v="1"/>
  </r>
  <r>
    <x v="3"/>
    <x v="0"/>
    <x v="11"/>
    <x v="10"/>
    <x v="513"/>
    <x v="0"/>
    <x v="75"/>
    <n v="2091.64"/>
    <n v="2091.64"/>
    <n v="0"/>
    <n v="1"/>
  </r>
  <r>
    <x v="3"/>
    <x v="0"/>
    <x v="11"/>
    <x v="10"/>
    <x v="514"/>
    <x v="0"/>
    <x v="254"/>
    <n v="1704.2"/>
    <n v="1704.2"/>
    <n v="0"/>
    <n v="1"/>
  </r>
  <r>
    <x v="3"/>
    <x v="0"/>
    <x v="11"/>
    <x v="10"/>
    <x v="515"/>
    <x v="0"/>
    <x v="210"/>
    <n v="1591.41"/>
    <n v="1591.41"/>
    <n v="0"/>
    <n v="1"/>
  </r>
  <r>
    <x v="3"/>
    <x v="0"/>
    <x v="11"/>
    <x v="10"/>
    <x v="516"/>
    <x v="0"/>
    <x v="22"/>
    <n v="2261.42"/>
    <n v="2261.42"/>
    <n v="0"/>
    <n v="1"/>
  </r>
  <r>
    <x v="3"/>
    <x v="0"/>
    <x v="11"/>
    <x v="10"/>
    <x v="517"/>
    <x v="0"/>
    <x v="299"/>
    <n v="1371.8"/>
    <n v="1371.8"/>
    <n v="0"/>
    <n v="1"/>
  </r>
  <r>
    <x v="3"/>
    <x v="0"/>
    <x v="11"/>
    <x v="10"/>
    <x v="518"/>
    <x v="0"/>
    <x v="97"/>
    <n v="6940.52"/>
    <n v="6940.52"/>
    <n v="0"/>
    <n v="1"/>
  </r>
  <r>
    <x v="3"/>
    <x v="0"/>
    <x v="11"/>
    <x v="10"/>
    <x v="519"/>
    <x v="0"/>
    <x v="171"/>
    <n v="1263.1199999999999"/>
    <n v="1263.1199999999999"/>
    <n v="0"/>
    <n v="1"/>
  </r>
  <r>
    <x v="3"/>
    <x v="0"/>
    <x v="12"/>
    <x v="11"/>
    <x v="520"/>
    <x v="6"/>
    <x v="300"/>
    <n v="-7603.8"/>
    <n v="-7603.8"/>
    <n v="0"/>
    <n v="1"/>
  </r>
  <r>
    <x v="3"/>
    <x v="0"/>
    <x v="12"/>
    <x v="11"/>
    <x v="521"/>
    <x v="6"/>
    <x v="301"/>
    <n v="-3344"/>
    <n v="-3344"/>
    <n v="0"/>
    <n v="1"/>
  </r>
  <r>
    <x v="3"/>
    <x v="0"/>
    <x v="12"/>
    <x v="11"/>
    <x v="522"/>
    <x v="0"/>
    <x v="289"/>
    <n v="3283.6"/>
    <n v="3283.6"/>
    <n v="0"/>
    <n v="1"/>
  </r>
  <r>
    <x v="3"/>
    <x v="0"/>
    <x v="12"/>
    <x v="11"/>
    <x v="523"/>
    <x v="0"/>
    <x v="242"/>
    <n v="3846.76"/>
    <n v="3846.76"/>
    <n v="0"/>
    <n v="1"/>
  </r>
  <r>
    <x v="3"/>
    <x v="0"/>
    <x v="12"/>
    <x v="11"/>
    <x v="524"/>
    <x v="0"/>
    <x v="15"/>
    <n v="4081.09"/>
    <n v="4081.09"/>
    <n v="0"/>
    <n v="1"/>
  </r>
  <r>
    <x v="3"/>
    <x v="0"/>
    <x v="12"/>
    <x v="11"/>
    <x v="525"/>
    <x v="0"/>
    <x v="155"/>
    <n v="6692.46"/>
    <n v="6692.46"/>
    <n v="0"/>
    <n v="1"/>
  </r>
  <r>
    <x v="3"/>
    <x v="0"/>
    <x v="12"/>
    <x v="11"/>
    <x v="526"/>
    <x v="6"/>
    <x v="302"/>
    <n v="-11380.42"/>
    <n v="-11380.42"/>
    <n v="0"/>
    <n v="1"/>
  </r>
  <r>
    <x v="3"/>
    <x v="0"/>
    <x v="12"/>
    <x v="11"/>
    <x v="527"/>
    <x v="6"/>
    <x v="303"/>
    <n v="-9927.5"/>
    <n v="-9927.5"/>
    <n v="0"/>
    <n v="1"/>
  </r>
  <r>
    <x v="3"/>
    <x v="0"/>
    <x v="12"/>
    <x v="11"/>
    <x v="528"/>
    <x v="6"/>
    <x v="304"/>
    <n v="-4075.5"/>
    <n v="-4075.5"/>
    <n v="0"/>
    <n v="1"/>
  </r>
  <r>
    <x v="3"/>
    <x v="0"/>
    <x v="12"/>
    <x v="11"/>
    <x v="529"/>
    <x v="6"/>
    <x v="305"/>
    <n v="-5470.72"/>
    <n v="-5470.72"/>
    <n v="0"/>
    <n v="1"/>
  </r>
  <r>
    <x v="3"/>
    <x v="0"/>
    <x v="12"/>
    <x v="11"/>
    <x v="530"/>
    <x v="6"/>
    <x v="306"/>
    <n v="-5790.78"/>
    <n v="-5790.78"/>
    <n v="0"/>
    <n v="1"/>
  </r>
  <r>
    <x v="3"/>
    <x v="0"/>
    <x v="12"/>
    <x v="11"/>
    <x v="531"/>
    <x v="6"/>
    <x v="307"/>
    <n v="-8151"/>
    <n v="-8151"/>
    <n v="0"/>
    <n v="1"/>
  </r>
  <r>
    <x v="3"/>
    <x v="0"/>
    <x v="12"/>
    <x v="11"/>
    <x v="532"/>
    <x v="6"/>
    <x v="308"/>
    <n v="-7699.06"/>
    <n v="-7699.06"/>
    <n v="0"/>
    <n v="1"/>
  </r>
  <r>
    <x v="3"/>
    <x v="0"/>
    <x v="12"/>
    <x v="11"/>
    <x v="533"/>
    <x v="6"/>
    <x v="309"/>
    <n v="-3971"/>
    <n v="-3971"/>
    <n v="0"/>
    <n v="1"/>
  </r>
  <r>
    <x v="3"/>
    <x v="0"/>
    <x v="12"/>
    <x v="11"/>
    <x v="534"/>
    <x v="0"/>
    <x v="75"/>
    <n v="1890.71"/>
    <n v="1890.71"/>
    <n v="0"/>
    <n v="1"/>
  </r>
  <r>
    <x v="3"/>
    <x v="0"/>
    <x v="12"/>
    <x v="11"/>
    <x v="535"/>
    <x v="0"/>
    <x v="141"/>
    <n v="102.33"/>
    <n v="102.33"/>
    <n v="0"/>
    <n v="1"/>
  </r>
  <r>
    <x v="3"/>
    <x v="0"/>
    <x v="12"/>
    <x v="11"/>
    <x v="536"/>
    <x v="0"/>
    <x v="77"/>
    <n v="346.83"/>
    <n v="346.83"/>
    <n v="0"/>
    <n v="1"/>
  </r>
  <r>
    <x v="3"/>
    <x v="0"/>
    <x v="12"/>
    <x v="11"/>
    <x v="537"/>
    <x v="0"/>
    <x v="253"/>
    <n v="1869.49"/>
    <n v="1869.49"/>
    <n v="0"/>
    <n v="1"/>
  </r>
  <r>
    <x v="3"/>
    <x v="0"/>
    <x v="12"/>
    <x v="11"/>
    <x v="538"/>
    <x v="0"/>
    <x v="310"/>
    <n v="1829.8"/>
    <n v="1829.8"/>
    <n v="0"/>
    <n v="1"/>
  </r>
  <r>
    <x v="3"/>
    <x v="0"/>
    <x v="12"/>
    <x v="11"/>
    <x v="539"/>
    <x v="0"/>
    <x v="187"/>
    <n v="1597.44"/>
    <n v="1597.44"/>
    <n v="0"/>
    <n v="1"/>
  </r>
  <r>
    <x v="3"/>
    <x v="0"/>
    <x v="12"/>
    <x v="11"/>
    <x v="540"/>
    <x v="0"/>
    <x v="76"/>
    <n v="1524.11"/>
    <n v="1524.11"/>
    <n v="0"/>
    <n v="1"/>
  </r>
  <r>
    <x v="3"/>
    <x v="0"/>
    <x v="12"/>
    <x v="11"/>
    <x v="541"/>
    <x v="0"/>
    <x v="136"/>
    <n v="1496.52"/>
    <n v="1496.52"/>
    <n v="0"/>
    <n v="1"/>
  </r>
  <r>
    <x v="3"/>
    <x v="0"/>
    <x v="12"/>
    <x v="11"/>
    <x v="542"/>
    <x v="0"/>
    <x v="46"/>
    <n v="1405.21"/>
    <n v="1405.21"/>
    <n v="0"/>
    <n v="1"/>
  </r>
  <r>
    <x v="3"/>
    <x v="0"/>
    <x v="12"/>
    <x v="11"/>
    <x v="543"/>
    <x v="0"/>
    <x v="311"/>
    <n v="1160.8699999999999"/>
    <n v="1160.8699999999999"/>
    <n v="0"/>
    <n v="1"/>
  </r>
  <r>
    <x v="3"/>
    <x v="0"/>
    <x v="12"/>
    <x v="11"/>
    <x v="544"/>
    <x v="0"/>
    <x v="219"/>
    <n v="1149.07"/>
    <n v="1149.07"/>
    <n v="0"/>
    <n v="1"/>
  </r>
  <r>
    <x v="3"/>
    <x v="0"/>
    <x v="12"/>
    <x v="11"/>
    <x v="545"/>
    <x v="0"/>
    <x v="312"/>
    <n v="1120.4000000000001"/>
    <n v="1120.4000000000001"/>
    <n v="0"/>
    <n v="1"/>
  </r>
  <r>
    <x v="3"/>
    <x v="0"/>
    <x v="12"/>
    <x v="11"/>
    <x v="546"/>
    <x v="0"/>
    <x v="241"/>
    <n v="1045.68"/>
    <n v="1045.68"/>
    <n v="0"/>
    <n v="1"/>
  </r>
  <r>
    <x v="3"/>
    <x v="0"/>
    <x v="12"/>
    <x v="11"/>
    <x v="547"/>
    <x v="0"/>
    <x v="278"/>
    <n v="2594.6"/>
    <n v="2594.6"/>
    <n v="0"/>
    <n v="1"/>
  </r>
  <r>
    <x v="3"/>
    <x v="0"/>
    <x v="12"/>
    <x v="11"/>
    <x v="548"/>
    <x v="0"/>
    <x v="34"/>
    <n v="1933.77"/>
    <n v="1933.77"/>
    <n v="0"/>
    <n v="1"/>
  </r>
  <r>
    <x v="3"/>
    <x v="0"/>
    <x v="12"/>
    <x v="11"/>
    <x v="549"/>
    <x v="0"/>
    <x v="32"/>
    <n v="1973.6"/>
    <n v="1973.6"/>
    <n v="0"/>
    <n v="1"/>
  </r>
  <r>
    <x v="3"/>
    <x v="0"/>
    <x v="12"/>
    <x v="11"/>
    <x v="550"/>
    <x v="0"/>
    <x v="313"/>
    <n v="2146.54"/>
    <n v="2146.54"/>
    <n v="0"/>
    <n v="1"/>
  </r>
  <r>
    <x v="3"/>
    <x v="0"/>
    <x v="12"/>
    <x v="11"/>
    <x v="551"/>
    <x v="0"/>
    <x v="147"/>
    <n v="1768.45"/>
    <n v="1768.45"/>
    <n v="0"/>
    <n v="1"/>
  </r>
  <r>
    <x v="3"/>
    <x v="0"/>
    <x v="12"/>
    <x v="11"/>
    <x v="552"/>
    <x v="0"/>
    <x v="35"/>
    <n v="765.72"/>
    <n v="765.72"/>
    <n v="0"/>
    <n v="1"/>
  </r>
  <r>
    <x v="3"/>
    <x v="0"/>
    <x v="12"/>
    <x v="11"/>
    <x v="553"/>
    <x v="0"/>
    <x v="154"/>
    <n v="731.42"/>
    <n v="731.42"/>
    <n v="0"/>
    <n v="1"/>
  </r>
  <r>
    <x v="3"/>
    <x v="0"/>
    <x v="12"/>
    <x v="11"/>
    <x v="554"/>
    <x v="0"/>
    <x v="206"/>
    <n v="2146.58"/>
    <n v="2146.58"/>
    <n v="0"/>
    <n v="1"/>
  </r>
  <r>
    <x v="3"/>
    <x v="0"/>
    <x v="12"/>
    <x v="11"/>
    <x v="555"/>
    <x v="0"/>
    <x v="104"/>
    <n v="2534.04"/>
    <n v="2534.04"/>
    <n v="0"/>
    <n v="1"/>
  </r>
  <r>
    <x v="3"/>
    <x v="0"/>
    <x v="12"/>
    <x v="11"/>
    <x v="556"/>
    <x v="0"/>
    <x v="20"/>
    <n v="2540.31"/>
    <n v="2540.31"/>
    <n v="0"/>
    <n v="1"/>
  </r>
  <r>
    <x v="3"/>
    <x v="0"/>
    <x v="12"/>
    <x v="11"/>
    <x v="557"/>
    <x v="0"/>
    <x v="47"/>
    <n v="702.04"/>
    <n v="702.04"/>
    <n v="0"/>
    <n v="1"/>
  </r>
  <r>
    <x v="3"/>
    <x v="0"/>
    <x v="12"/>
    <x v="11"/>
    <x v="558"/>
    <x v="0"/>
    <x v="86"/>
    <n v="560.64"/>
    <n v="560.64"/>
    <n v="0"/>
    <n v="1"/>
  </r>
  <r>
    <x v="3"/>
    <x v="0"/>
    <x v="12"/>
    <x v="11"/>
    <x v="559"/>
    <x v="0"/>
    <x v="199"/>
    <n v="861.8"/>
    <n v="861.8"/>
    <n v="0"/>
    <n v="1"/>
  </r>
  <r>
    <x v="3"/>
    <x v="0"/>
    <x v="12"/>
    <x v="11"/>
    <x v="560"/>
    <x v="0"/>
    <x v="97"/>
    <n v="11305.63"/>
    <n v="11305.63"/>
    <n v="0"/>
    <n v="1"/>
  </r>
  <r>
    <x v="3"/>
    <x v="0"/>
    <x v="12"/>
    <x v="11"/>
    <x v="561"/>
    <x v="0"/>
    <x v="206"/>
    <n v="1525.52"/>
    <n v="1525.52"/>
    <n v="0"/>
    <n v="1"/>
  </r>
  <r>
    <x v="3"/>
    <x v="0"/>
    <x v="12"/>
    <x v="11"/>
    <x v="562"/>
    <x v="0"/>
    <x v="101"/>
    <n v="7644.35"/>
    <n v="7644.35"/>
    <n v="0"/>
    <n v="1"/>
  </r>
  <r>
    <x v="3"/>
    <x v="0"/>
    <x v="12"/>
    <x v="11"/>
    <x v="563"/>
    <x v="0"/>
    <x v="96"/>
    <n v="5077.8500000000004"/>
    <n v="5077.8500000000004"/>
    <n v="0"/>
    <n v="1"/>
  </r>
  <r>
    <x v="3"/>
    <x v="0"/>
    <x v="12"/>
    <x v="11"/>
    <x v="564"/>
    <x v="0"/>
    <x v="99"/>
    <n v="4615.2700000000004"/>
    <n v="4615.2700000000004"/>
    <n v="0"/>
    <n v="1"/>
  </r>
  <r>
    <x v="3"/>
    <x v="0"/>
    <x v="12"/>
    <x v="11"/>
    <x v="565"/>
    <x v="0"/>
    <x v="314"/>
    <n v="3600.13"/>
    <n v="3600.13"/>
    <n v="0"/>
    <n v="1"/>
  </r>
  <r>
    <x v="3"/>
    <x v="0"/>
    <x v="12"/>
    <x v="11"/>
    <x v="566"/>
    <x v="0"/>
    <x v="13"/>
    <n v="2474.62"/>
    <n v="2474.62"/>
    <n v="0"/>
    <n v="1"/>
  </r>
  <r>
    <x v="3"/>
    <x v="0"/>
    <x v="12"/>
    <x v="11"/>
    <x v="567"/>
    <x v="0"/>
    <x v="160"/>
    <n v="14552.19"/>
    <n v="14552.19"/>
    <n v="0"/>
    <n v="1"/>
  </r>
  <r>
    <x v="3"/>
    <x v="0"/>
    <x v="12"/>
    <x v="11"/>
    <x v="568"/>
    <x v="0"/>
    <x v="89"/>
    <n v="2731.49"/>
    <n v="2731.49"/>
    <n v="0"/>
    <n v="1"/>
  </r>
  <r>
    <x v="3"/>
    <x v="0"/>
    <x v="12"/>
    <x v="11"/>
    <x v="569"/>
    <x v="0"/>
    <x v="124"/>
    <n v="9333.5"/>
    <n v="9333.5"/>
    <n v="0"/>
    <n v="1"/>
  </r>
  <r>
    <x v="3"/>
    <x v="0"/>
    <x v="12"/>
    <x v="11"/>
    <x v="570"/>
    <x v="0"/>
    <x v="196"/>
    <n v="4265.13"/>
    <n v="4265.13"/>
    <n v="0"/>
    <n v="1"/>
  </r>
  <r>
    <x v="3"/>
    <x v="0"/>
    <x v="12"/>
    <x v="11"/>
    <x v="571"/>
    <x v="0"/>
    <x v="108"/>
    <n v="11117.32"/>
    <n v="11117.32"/>
    <n v="0"/>
    <n v="1"/>
  </r>
  <r>
    <x v="3"/>
    <x v="0"/>
    <x v="12"/>
    <x v="11"/>
    <x v="572"/>
    <x v="0"/>
    <x v="113"/>
    <n v="16736.580000000002"/>
    <n v="16736.580000000002"/>
    <n v="0"/>
    <n v="1"/>
  </r>
  <r>
    <x v="3"/>
    <x v="0"/>
    <x v="12"/>
    <x v="11"/>
    <x v="573"/>
    <x v="0"/>
    <x v="109"/>
    <n v="13048.14"/>
    <n v="13048.14"/>
    <n v="0"/>
    <n v="1"/>
  </r>
  <r>
    <x v="3"/>
    <x v="0"/>
    <x v="12"/>
    <x v="11"/>
    <x v="574"/>
    <x v="0"/>
    <x v="40"/>
    <n v="6682.34"/>
    <n v="6682.34"/>
    <n v="0"/>
    <n v="1"/>
  </r>
  <r>
    <x v="3"/>
    <x v="0"/>
    <x v="12"/>
    <x v="11"/>
    <x v="575"/>
    <x v="0"/>
    <x v="90"/>
    <n v="4555.05"/>
    <n v="4555.05"/>
    <n v="0"/>
    <n v="1"/>
  </r>
  <r>
    <x v="3"/>
    <x v="0"/>
    <x v="12"/>
    <x v="11"/>
    <x v="576"/>
    <x v="0"/>
    <x v="179"/>
    <n v="4983.46"/>
    <n v="4983.46"/>
    <n v="0"/>
    <n v="1"/>
  </r>
  <r>
    <x v="3"/>
    <x v="0"/>
    <x v="12"/>
    <x v="11"/>
    <x v="577"/>
    <x v="0"/>
    <x v="93"/>
    <n v="15848.54"/>
    <n v="15848.54"/>
    <n v="0"/>
    <n v="1"/>
  </r>
  <r>
    <x v="3"/>
    <x v="0"/>
    <x v="12"/>
    <x v="11"/>
    <x v="578"/>
    <x v="0"/>
    <x v="98"/>
    <n v="2920.26"/>
    <n v="2920.26"/>
    <n v="0"/>
    <n v="1"/>
  </r>
  <r>
    <x v="3"/>
    <x v="0"/>
    <x v="12"/>
    <x v="11"/>
    <x v="579"/>
    <x v="0"/>
    <x v="112"/>
    <n v="7470.43"/>
    <n v="7470.43"/>
    <n v="0"/>
    <n v="1"/>
  </r>
  <r>
    <x v="3"/>
    <x v="0"/>
    <x v="12"/>
    <x v="11"/>
    <x v="580"/>
    <x v="0"/>
    <x v="183"/>
    <n v="2226.5300000000002"/>
    <n v="2226.5300000000002"/>
    <n v="0"/>
    <n v="1"/>
  </r>
  <r>
    <x v="3"/>
    <x v="0"/>
    <x v="12"/>
    <x v="11"/>
    <x v="581"/>
    <x v="0"/>
    <x v="210"/>
    <n v="2481.0500000000002"/>
    <n v="2481.0500000000002"/>
    <n v="0"/>
    <n v="1"/>
  </r>
  <r>
    <x v="3"/>
    <x v="0"/>
    <x v="13"/>
    <x v="12"/>
    <x v="582"/>
    <x v="0"/>
    <x v="171"/>
    <n v="2106.0500000000002"/>
    <n v="2106.0500000000002"/>
    <n v="0"/>
    <n v="1"/>
  </r>
  <r>
    <x v="3"/>
    <x v="0"/>
    <x v="13"/>
    <x v="12"/>
    <x v="583"/>
    <x v="0"/>
    <x v="148"/>
    <n v="1789.6"/>
    <n v="1789.6"/>
    <n v="0"/>
    <n v="1"/>
  </r>
  <r>
    <x v="3"/>
    <x v="0"/>
    <x v="13"/>
    <x v="12"/>
    <x v="584"/>
    <x v="0"/>
    <x v="22"/>
    <n v="1559.96"/>
    <n v="1559.96"/>
    <n v="0"/>
    <n v="1"/>
  </r>
  <r>
    <x v="3"/>
    <x v="0"/>
    <x v="13"/>
    <x v="12"/>
    <x v="585"/>
    <x v="0"/>
    <x v="119"/>
    <n v="650.70000000000005"/>
    <n v="650.70000000000005"/>
    <n v="0"/>
    <n v="1"/>
  </r>
  <r>
    <x v="3"/>
    <x v="0"/>
    <x v="13"/>
    <x v="12"/>
    <x v="586"/>
    <x v="0"/>
    <x v="315"/>
    <n v="1556.24"/>
    <n v="1556.24"/>
    <n v="0"/>
    <n v="1"/>
  </r>
  <r>
    <x v="3"/>
    <x v="0"/>
    <x v="13"/>
    <x v="12"/>
    <x v="587"/>
    <x v="0"/>
    <x v="194"/>
    <n v="728.84"/>
    <n v="728.84"/>
    <n v="0"/>
    <n v="1"/>
  </r>
  <r>
    <x v="3"/>
    <x v="0"/>
    <x v="13"/>
    <x v="12"/>
    <x v="588"/>
    <x v="0"/>
    <x v="316"/>
    <n v="213.29"/>
    <n v="213.29"/>
    <n v="0"/>
    <n v="1"/>
  </r>
  <r>
    <x v="3"/>
    <x v="0"/>
    <x v="13"/>
    <x v="12"/>
    <x v="589"/>
    <x v="0"/>
    <x v="312"/>
    <n v="1452.77"/>
    <n v="1452.77"/>
    <n v="0"/>
    <n v="1"/>
  </r>
  <r>
    <x v="3"/>
    <x v="0"/>
    <x v="13"/>
    <x v="12"/>
    <x v="590"/>
    <x v="0"/>
    <x v="166"/>
    <n v="1107.8399999999999"/>
    <n v="1107.8399999999999"/>
    <n v="0"/>
    <n v="1"/>
  </r>
  <r>
    <x v="3"/>
    <x v="0"/>
    <x v="13"/>
    <x v="12"/>
    <x v="591"/>
    <x v="0"/>
    <x v="104"/>
    <n v="1088.0899999999999"/>
    <n v="1088.0899999999999"/>
    <n v="0"/>
    <n v="1"/>
  </r>
  <r>
    <x v="3"/>
    <x v="0"/>
    <x v="13"/>
    <x v="12"/>
    <x v="592"/>
    <x v="6"/>
    <x v="317"/>
    <n v="-9703.39"/>
    <n v="-9703.39"/>
    <n v="0"/>
    <n v="1"/>
  </r>
  <r>
    <x v="3"/>
    <x v="0"/>
    <x v="13"/>
    <x v="12"/>
    <x v="593"/>
    <x v="0"/>
    <x v="318"/>
    <n v="1814.27"/>
    <n v="1814.27"/>
    <n v="0"/>
    <n v="1"/>
  </r>
  <r>
    <x v="3"/>
    <x v="0"/>
    <x v="13"/>
    <x v="12"/>
    <x v="594"/>
    <x v="0"/>
    <x v="315"/>
    <n v="2103.84"/>
    <n v="2103.84"/>
    <n v="0"/>
    <n v="1"/>
  </r>
  <r>
    <x v="3"/>
    <x v="0"/>
    <x v="13"/>
    <x v="12"/>
    <x v="595"/>
    <x v="0"/>
    <x v="199"/>
    <n v="785.78"/>
    <n v="785.78"/>
    <n v="0"/>
    <n v="1"/>
  </r>
  <r>
    <x v="3"/>
    <x v="0"/>
    <x v="13"/>
    <x v="12"/>
    <x v="596"/>
    <x v="0"/>
    <x v="319"/>
    <n v="4578.95"/>
    <n v="4578.95"/>
    <n v="0"/>
    <n v="1"/>
  </r>
  <r>
    <x v="3"/>
    <x v="0"/>
    <x v="13"/>
    <x v="12"/>
    <x v="597"/>
    <x v="0"/>
    <x v="275"/>
    <n v="2265.64"/>
    <n v="2265.64"/>
    <n v="0"/>
    <n v="1"/>
  </r>
  <r>
    <x v="3"/>
    <x v="0"/>
    <x v="13"/>
    <x v="12"/>
    <x v="598"/>
    <x v="0"/>
    <x v="158"/>
    <n v="2640.45"/>
    <n v="2640.45"/>
    <n v="0"/>
    <n v="1"/>
  </r>
  <r>
    <x v="3"/>
    <x v="0"/>
    <x v="13"/>
    <x v="12"/>
    <x v="599"/>
    <x v="0"/>
    <x v="188"/>
    <n v="2795.46"/>
    <n v="2795.46"/>
    <n v="0"/>
    <n v="1"/>
  </r>
  <r>
    <x v="3"/>
    <x v="0"/>
    <x v="13"/>
    <x v="12"/>
    <x v="600"/>
    <x v="0"/>
    <x v="82"/>
    <n v="3026.35"/>
    <n v="3026.35"/>
    <n v="0"/>
    <n v="1"/>
  </r>
  <r>
    <x v="3"/>
    <x v="0"/>
    <x v="13"/>
    <x v="12"/>
    <x v="601"/>
    <x v="0"/>
    <x v="297"/>
    <n v="3496.3"/>
    <n v="3496.3"/>
    <n v="0"/>
    <n v="1"/>
  </r>
  <r>
    <x v="3"/>
    <x v="0"/>
    <x v="13"/>
    <x v="12"/>
    <x v="602"/>
    <x v="0"/>
    <x v="149"/>
    <n v="3660.44"/>
    <n v="3660.44"/>
    <n v="0"/>
    <n v="1"/>
  </r>
  <r>
    <x v="3"/>
    <x v="0"/>
    <x v="13"/>
    <x v="12"/>
    <x v="603"/>
    <x v="0"/>
    <x v="184"/>
    <n v="790.76"/>
    <n v="790.76"/>
    <n v="0"/>
    <n v="1"/>
  </r>
  <r>
    <x v="3"/>
    <x v="0"/>
    <x v="13"/>
    <x v="12"/>
    <x v="604"/>
    <x v="0"/>
    <x v="80"/>
    <n v="869.71"/>
    <n v="869.71"/>
    <n v="0"/>
    <n v="1"/>
  </r>
  <r>
    <x v="3"/>
    <x v="0"/>
    <x v="13"/>
    <x v="12"/>
    <x v="605"/>
    <x v="6"/>
    <x v="320"/>
    <n v="-12792"/>
    <n v="-12792"/>
    <n v="0"/>
    <n v="1"/>
  </r>
  <r>
    <x v="3"/>
    <x v="0"/>
    <x v="13"/>
    <x v="12"/>
    <x v="606"/>
    <x v="0"/>
    <x v="161"/>
    <n v="4141.72"/>
    <n v="4141.72"/>
    <n v="0"/>
    <n v="1"/>
  </r>
  <r>
    <x v="3"/>
    <x v="0"/>
    <x v="13"/>
    <x v="12"/>
    <x v="607"/>
    <x v="0"/>
    <x v="220"/>
    <n v="846.3"/>
    <n v="846.3"/>
    <n v="0"/>
    <n v="1"/>
  </r>
  <r>
    <x v="3"/>
    <x v="0"/>
    <x v="13"/>
    <x v="12"/>
    <x v="608"/>
    <x v="0"/>
    <x v="321"/>
    <n v="1843.85"/>
    <n v="1843.85"/>
    <n v="0"/>
    <n v="1"/>
  </r>
  <r>
    <x v="3"/>
    <x v="0"/>
    <x v="13"/>
    <x v="12"/>
    <x v="609"/>
    <x v="0"/>
    <x v="322"/>
    <n v="4217.17"/>
    <n v="4217.17"/>
    <n v="0"/>
    <n v="1"/>
  </r>
  <r>
    <x v="3"/>
    <x v="0"/>
    <x v="13"/>
    <x v="12"/>
    <x v="610"/>
    <x v="0"/>
    <x v="134"/>
    <n v="4228.83"/>
    <n v="4228.83"/>
    <n v="0"/>
    <n v="1"/>
  </r>
  <r>
    <x v="3"/>
    <x v="0"/>
    <x v="13"/>
    <x v="12"/>
    <x v="611"/>
    <x v="0"/>
    <x v="271"/>
    <n v="1989.73"/>
    <n v="1989.73"/>
    <n v="0"/>
    <n v="1"/>
  </r>
  <r>
    <x v="3"/>
    <x v="0"/>
    <x v="13"/>
    <x v="12"/>
    <x v="612"/>
    <x v="6"/>
    <x v="323"/>
    <n v="-128882.9"/>
    <n v="-128882.9"/>
    <n v="0"/>
    <n v="1"/>
  </r>
  <r>
    <x v="3"/>
    <x v="0"/>
    <x v="13"/>
    <x v="12"/>
    <x v="613"/>
    <x v="0"/>
    <x v="153"/>
    <n v="922.2"/>
    <n v="922.2"/>
    <n v="0"/>
    <n v="1"/>
  </r>
  <r>
    <x v="3"/>
    <x v="0"/>
    <x v="13"/>
    <x v="12"/>
    <x v="614"/>
    <x v="0"/>
    <x v="14"/>
    <n v="4041.55"/>
    <n v="4041.55"/>
    <n v="0"/>
    <n v="1"/>
  </r>
  <r>
    <x v="3"/>
    <x v="0"/>
    <x v="13"/>
    <x v="12"/>
    <x v="615"/>
    <x v="0"/>
    <x v="40"/>
    <n v="3115.35"/>
    <n v="3115.35"/>
    <n v="0"/>
    <n v="1"/>
  </r>
  <r>
    <x v="3"/>
    <x v="0"/>
    <x v="13"/>
    <x v="12"/>
    <x v="616"/>
    <x v="0"/>
    <x v="33"/>
    <n v="993.06"/>
    <n v="993.06"/>
    <n v="0"/>
    <n v="1"/>
  </r>
  <r>
    <x v="3"/>
    <x v="0"/>
    <x v="13"/>
    <x v="12"/>
    <x v="617"/>
    <x v="0"/>
    <x v="93"/>
    <n v="13696.91"/>
    <n v="13696.91"/>
    <n v="0"/>
    <n v="1"/>
  </r>
  <r>
    <x v="3"/>
    <x v="0"/>
    <x v="13"/>
    <x v="12"/>
    <x v="618"/>
    <x v="0"/>
    <x v="101"/>
    <n v="5174.0600000000004"/>
    <n v="5174.0600000000004"/>
    <n v="0"/>
    <n v="1"/>
  </r>
  <r>
    <x v="3"/>
    <x v="0"/>
    <x v="13"/>
    <x v="12"/>
    <x v="619"/>
    <x v="0"/>
    <x v="13"/>
    <n v="3648.3"/>
    <n v="3648.3"/>
    <n v="0"/>
    <n v="1"/>
  </r>
  <r>
    <x v="3"/>
    <x v="0"/>
    <x v="13"/>
    <x v="12"/>
    <x v="620"/>
    <x v="0"/>
    <x v="40"/>
    <n v="5208.3500000000004"/>
    <n v="5208.3500000000004"/>
    <n v="0"/>
    <n v="1"/>
  </r>
  <r>
    <x v="3"/>
    <x v="0"/>
    <x v="13"/>
    <x v="12"/>
    <x v="621"/>
    <x v="0"/>
    <x v="111"/>
    <n v="8375.64"/>
    <n v="8375.64"/>
    <n v="0"/>
    <n v="1"/>
  </r>
  <r>
    <x v="3"/>
    <x v="0"/>
    <x v="13"/>
    <x v="12"/>
    <x v="622"/>
    <x v="0"/>
    <x v="324"/>
    <n v="18222.310000000001"/>
    <n v="18222.310000000001"/>
    <n v="0"/>
    <n v="1"/>
  </r>
  <r>
    <x v="3"/>
    <x v="0"/>
    <x v="13"/>
    <x v="12"/>
    <x v="623"/>
    <x v="0"/>
    <x v="108"/>
    <n v="8972.3799999999992"/>
    <n v="8972.3799999999992"/>
    <n v="0"/>
    <n v="1"/>
  </r>
  <r>
    <x v="3"/>
    <x v="0"/>
    <x v="13"/>
    <x v="12"/>
    <x v="624"/>
    <x v="0"/>
    <x v="92"/>
    <n v="6106.12"/>
    <n v="6106.12"/>
    <n v="0"/>
    <n v="1"/>
  </r>
  <r>
    <x v="3"/>
    <x v="0"/>
    <x v="13"/>
    <x v="12"/>
    <x v="625"/>
    <x v="0"/>
    <x v="37"/>
    <n v="3677.84"/>
    <n v="3677.84"/>
    <n v="0"/>
    <n v="1"/>
  </r>
  <r>
    <x v="3"/>
    <x v="2"/>
    <x v="5"/>
    <x v="13"/>
    <x v="626"/>
    <x v="5"/>
    <x v="1"/>
    <n v="1620.8"/>
    <n v="1620.8"/>
    <n v="0"/>
    <n v="1"/>
  </r>
  <r>
    <x v="3"/>
    <x v="0"/>
    <x v="5"/>
    <x v="13"/>
    <x v="627"/>
    <x v="0"/>
    <x v="312"/>
    <n v="4951.34"/>
    <n v="4951.34"/>
    <n v="0"/>
    <n v="1"/>
  </r>
  <r>
    <x v="3"/>
    <x v="0"/>
    <x v="5"/>
    <x v="13"/>
    <x v="628"/>
    <x v="0"/>
    <x v="143"/>
    <n v="1211.27"/>
    <n v="1211.27"/>
    <n v="0"/>
    <n v="1"/>
  </r>
  <r>
    <x v="3"/>
    <x v="0"/>
    <x v="5"/>
    <x v="13"/>
    <x v="629"/>
    <x v="0"/>
    <x v="325"/>
    <n v="1412.04"/>
    <n v="1412.04"/>
    <n v="0"/>
    <n v="1"/>
  </r>
  <r>
    <x v="3"/>
    <x v="0"/>
    <x v="5"/>
    <x v="13"/>
    <x v="630"/>
    <x v="0"/>
    <x v="240"/>
    <n v="5645.09"/>
    <n v="5645.09"/>
    <n v="0"/>
    <n v="1"/>
  </r>
  <r>
    <x v="3"/>
    <x v="0"/>
    <x v="5"/>
    <x v="13"/>
    <x v="631"/>
    <x v="0"/>
    <x v="185"/>
    <n v="1200.24"/>
    <n v="1200.24"/>
    <n v="0"/>
    <n v="1"/>
  </r>
  <r>
    <x v="3"/>
    <x v="0"/>
    <x v="5"/>
    <x v="13"/>
    <x v="632"/>
    <x v="0"/>
    <x v="146"/>
    <n v="1650.01"/>
    <n v="1650.01"/>
    <n v="0"/>
    <n v="1"/>
  </r>
  <r>
    <x v="3"/>
    <x v="0"/>
    <x v="5"/>
    <x v="13"/>
    <x v="633"/>
    <x v="0"/>
    <x v="206"/>
    <n v="1841.4"/>
    <n v="1841.4"/>
    <n v="0"/>
    <n v="1"/>
  </r>
  <r>
    <x v="3"/>
    <x v="0"/>
    <x v="5"/>
    <x v="13"/>
    <x v="634"/>
    <x v="0"/>
    <x v="326"/>
    <n v="1871.77"/>
    <n v="1871.77"/>
    <n v="0"/>
    <n v="1"/>
  </r>
  <r>
    <x v="3"/>
    <x v="0"/>
    <x v="5"/>
    <x v="13"/>
    <x v="635"/>
    <x v="0"/>
    <x v="276"/>
    <n v="1258"/>
    <n v="1258"/>
    <n v="0"/>
    <n v="1"/>
  </r>
  <r>
    <x v="3"/>
    <x v="0"/>
    <x v="5"/>
    <x v="13"/>
    <x v="636"/>
    <x v="0"/>
    <x v="327"/>
    <n v="999.32"/>
    <n v="999.32"/>
    <n v="0"/>
    <n v="1"/>
  </r>
  <r>
    <x v="3"/>
    <x v="0"/>
    <x v="5"/>
    <x v="13"/>
    <x v="637"/>
    <x v="0"/>
    <x v="328"/>
    <n v="625.88"/>
    <n v="625.88"/>
    <n v="0"/>
    <n v="1"/>
  </r>
  <r>
    <x v="3"/>
    <x v="0"/>
    <x v="5"/>
    <x v="13"/>
    <x v="638"/>
    <x v="0"/>
    <x v="280"/>
    <n v="922.2"/>
    <n v="922.2"/>
    <n v="0"/>
    <n v="1"/>
  </r>
  <r>
    <x v="3"/>
    <x v="0"/>
    <x v="5"/>
    <x v="13"/>
    <x v="639"/>
    <x v="0"/>
    <x v="75"/>
    <n v="830.38"/>
    <n v="830.38"/>
    <n v="0"/>
    <n v="1"/>
  </r>
  <r>
    <x v="3"/>
    <x v="0"/>
    <x v="5"/>
    <x v="13"/>
    <x v="640"/>
    <x v="0"/>
    <x v="220"/>
    <n v="662.87"/>
    <n v="662.87"/>
    <n v="0"/>
    <n v="1"/>
  </r>
  <r>
    <x v="3"/>
    <x v="0"/>
    <x v="5"/>
    <x v="13"/>
    <x v="641"/>
    <x v="0"/>
    <x v="9"/>
    <n v="6548.48"/>
    <n v="6548.48"/>
    <n v="0"/>
    <n v="1"/>
  </r>
  <r>
    <x v="3"/>
    <x v="0"/>
    <x v="5"/>
    <x v="13"/>
    <x v="642"/>
    <x v="6"/>
    <x v="329"/>
    <n v="-3179.28"/>
    <n v="-3179.28"/>
    <n v="0"/>
    <n v="1"/>
  </r>
  <r>
    <x v="3"/>
    <x v="0"/>
    <x v="5"/>
    <x v="13"/>
    <x v="643"/>
    <x v="6"/>
    <x v="330"/>
    <n v="-4563.07"/>
    <n v="-4563.07"/>
    <n v="0"/>
    <n v="1"/>
  </r>
  <r>
    <x v="3"/>
    <x v="0"/>
    <x v="5"/>
    <x v="13"/>
    <x v="644"/>
    <x v="6"/>
    <x v="331"/>
    <n v="-8938.86"/>
    <n v="-8938.86"/>
    <n v="0"/>
    <n v="1"/>
  </r>
  <r>
    <x v="3"/>
    <x v="0"/>
    <x v="5"/>
    <x v="13"/>
    <x v="645"/>
    <x v="0"/>
    <x v="73"/>
    <n v="2271.42"/>
    <n v="2271.42"/>
    <n v="0"/>
    <n v="1"/>
  </r>
  <r>
    <x v="3"/>
    <x v="0"/>
    <x v="5"/>
    <x v="13"/>
    <x v="646"/>
    <x v="0"/>
    <x v="332"/>
    <n v="2915.51"/>
    <n v="2915.51"/>
    <n v="0"/>
    <n v="1"/>
  </r>
  <r>
    <x v="3"/>
    <x v="0"/>
    <x v="5"/>
    <x v="13"/>
    <x v="647"/>
    <x v="0"/>
    <x v="16"/>
    <n v="3010.03"/>
    <n v="3010.03"/>
    <n v="0"/>
    <n v="1"/>
  </r>
  <r>
    <x v="3"/>
    <x v="0"/>
    <x v="5"/>
    <x v="13"/>
    <x v="648"/>
    <x v="0"/>
    <x v="140"/>
    <n v="3540.05"/>
    <n v="3540.05"/>
    <n v="0"/>
    <n v="1"/>
  </r>
  <r>
    <x v="3"/>
    <x v="0"/>
    <x v="5"/>
    <x v="13"/>
    <x v="649"/>
    <x v="0"/>
    <x v="292"/>
    <n v="4029.72"/>
    <n v="4029.72"/>
    <n v="0"/>
    <n v="1"/>
  </r>
  <r>
    <x v="3"/>
    <x v="0"/>
    <x v="5"/>
    <x v="13"/>
    <x v="650"/>
    <x v="0"/>
    <x v="169"/>
    <n v="4523.8999999999996"/>
    <n v="4523.8999999999996"/>
    <n v="0"/>
    <n v="1"/>
  </r>
  <r>
    <x v="3"/>
    <x v="0"/>
    <x v="5"/>
    <x v="13"/>
    <x v="651"/>
    <x v="0"/>
    <x v="47"/>
    <n v="990.21"/>
    <n v="990.21"/>
    <n v="0"/>
    <n v="1"/>
  </r>
  <r>
    <x v="3"/>
    <x v="0"/>
    <x v="5"/>
    <x v="13"/>
    <x v="652"/>
    <x v="0"/>
    <x v="333"/>
    <n v="2810.9"/>
    <n v="2810.9"/>
    <n v="0"/>
    <n v="1"/>
  </r>
  <r>
    <x v="3"/>
    <x v="0"/>
    <x v="5"/>
    <x v="13"/>
    <x v="653"/>
    <x v="0"/>
    <x v="247"/>
    <n v="2184.65"/>
    <n v="2184.65"/>
    <n v="0"/>
    <n v="1"/>
  </r>
  <r>
    <x v="3"/>
    <x v="0"/>
    <x v="5"/>
    <x v="13"/>
    <x v="654"/>
    <x v="0"/>
    <x v="13"/>
    <n v="4757.59"/>
    <n v="4757.59"/>
    <n v="0"/>
    <n v="1"/>
  </r>
  <r>
    <x v="3"/>
    <x v="0"/>
    <x v="5"/>
    <x v="13"/>
    <x v="655"/>
    <x v="0"/>
    <x v="96"/>
    <n v="2343.1799999999998"/>
    <n v="2343.1799999999998"/>
    <n v="0"/>
    <n v="1"/>
  </r>
  <r>
    <x v="3"/>
    <x v="0"/>
    <x v="5"/>
    <x v="13"/>
    <x v="656"/>
    <x v="0"/>
    <x v="158"/>
    <n v="2012"/>
    <n v="2012"/>
    <n v="0"/>
    <n v="1"/>
  </r>
  <r>
    <x v="3"/>
    <x v="0"/>
    <x v="5"/>
    <x v="13"/>
    <x v="657"/>
    <x v="0"/>
    <x v="173"/>
    <n v="1795"/>
    <n v="1795"/>
    <n v="0"/>
    <n v="1"/>
  </r>
  <r>
    <x v="3"/>
    <x v="0"/>
    <x v="5"/>
    <x v="13"/>
    <x v="658"/>
    <x v="0"/>
    <x v="101"/>
    <n v="3208.64"/>
    <n v="3208.64"/>
    <n v="0"/>
    <n v="1"/>
  </r>
  <r>
    <x v="3"/>
    <x v="0"/>
    <x v="5"/>
    <x v="13"/>
    <x v="659"/>
    <x v="0"/>
    <x v="14"/>
    <n v="6724.77"/>
    <n v="6724.77"/>
    <n v="0"/>
    <n v="1"/>
  </r>
  <r>
    <x v="3"/>
    <x v="0"/>
    <x v="5"/>
    <x v="13"/>
    <x v="660"/>
    <x v="0"/>
    <x v="40"/>
    <n v="2602.71"/>
    <n v="2602.71"/>
    <n v="0"/>
    <n v="1"/>
  </r>
  <r>
    <x v="3"/>
    <x v="0"/>
    <x v="5"/>
    <x v="13"/>
    <x v="661"/>
    <x v="0"/>
    <x v="141"/>
    <n v="1817.48"/>
    <n v="1817.48"/>
    <n v="0"/>
    <n v="1"/>
  </r>
  <r>
    <x v="3"/>
    <x v="0"/>
    <x v="5"/>
    <x v="13"/>
    <x v="662"/>
    <x v="0"/>
    <x v="0"/>
    <n v="18935.169999999998"/>
    <n v="18935.169999999998"/>
    <n v="0"/>
    <n v="1"/>
  </r>
  <r>
    <x v="3"/>
    <x v="0"/>
    <x v="5"/>
    <x v="13"/>
    <x v="663"/>
    <x v="0"/>
    <x v="112"/>
    <n v="5842.78"/>
    <n v="5842.78"/>
    <n v="0"/>
    <n v="1"/>
  </r>
  <r>
    <x v="3"/>
    <x v="0"/>
    <x v="5"/>
    <x v="13"/>
    <x v="664"/>
    <x v="0"/>
    <x v="111"/>
    <n v="32348.34"/>
    <n v="32348.34"/>
    <n v="0"/>
    <n v="1"/>
  </r>
  <r>
    <x v="3"/>
    <x v="0"/>
    <x v="5"/>
    <x v="13"/>
    <x v="665"/>
    <x v="0"/>
    <x v="97"/>
    <n v="12093.48"/>
    <n v="12093.48"/>
    <n v="0"/>
    <n v="1"/>
  </r>
  <r>
    <x v="3"/>
    <x v="0"/>
    <x v="5"/>
    <x v="13"/>
    <x v="666"/>
    <x v="0"/>
    <x v="113"/>
    <n v="8995.1200000000008"/>
    <n v="8995.1200000000008"/>
    <n v="0"/>
    <n v="1"/>
  </r>
  <r>
    <x v="3"/>
    <x v="0"/>
    <x v="5"/>
    <x v="13"/>
    <x v="667"/>
    <x v="0"/>
    <x v="108"/>
    <n v="11776.77"/>
    <n v="11776.77"/>
    <n v="0"/>
    <n v="1"/>
  </r>
  <r>
    <x v="3"/>
    <x v="2"/>
    <x v="14"/>
    <x v="14"/>
    <x v="668"/>
    <x v="5"/>
    <x v="89"/>
    <n v="17266.87"/>
    <n v="17266.87"/>
    <n v="0"/>
    <n v="1"/>
  </r>
  <r>
    <x v="3"/>
    <x v="0"/>
    <x v="14"/>
    <x v="14"/>
    <x v="669"/>
    <x v="0"/>
    <x v="14"/>
    <n v="982.94"/>
    <n v="982.94"/>
    <n v="0"/>
    <n v="1"/>
  </r>
  <r>
    <x v="3"/>
    <x v="0"/>
    <x v="14"/>
    <x v="14"/>
    <x v="670"/>
    <x v="0"/>
    <x v="40"/>
    <n v="5179.45"/>
    <n v="5179.45"/>
    <n v="0"/>
    <n v="1"/>
  </r>
  <r>
    <x v="3"/>
    <x v="0"/>
    <x v="14"/>
    <x v="14"/>
    <x v="671"/>
    <x v="0"/>
    <x v="123"/>
    <n v="6845.29"/>
    <n v="6845.29"/>
    <n v="0"/>
    <n v="1"/>
  </r>
  <r>
    <x v="3"/>
    <x v="0"/>
    <x v="14"/>
    <x v="14"/>
    <x v="672"/>
    <x v="0"/>
    <x v="92"/>
    <n v="716.34"/>
    <n v="716.34"/>
    <n v="0"/>
    <n v="1"/>
  </r>
  <r>
    <x v="3"/>
    <x v="0"/>
    <x v="14"/>
    <x v="14"/>
    <x v="673"/>
    <x v="0"/>
    <x v="334"/>
    <n v="3745.71"/>
    <n v="3745.71"/>
    <n v="0"/>
    <n v="1"/>
  </r>
  <r>
    <x v="3"/>
    <x v="0"/>
    <x v="14"/>
    <x v="14"/>
    <x v="674"/>
    <x v="0"/>
    <x v="246"/>
    <n v="5515.6"/>
    <n v="5515.6"/>
    <n v="0"/>
    <n v="1"/>
  </r>
  <r>
    <x v="3"/>
    <x v="0"/>
    <x v="14"/>
    <x v="14"/>
    <x v="675"/>
    <x v="0"/>
    <x v="97"/>
    <n v="6423.67"/>
    <n v="6423.67"/>
    <n v="0"/>
    <n v="1"/>
  </r>
  <r>
    <x v="3"/>
    <x v="0"/>
    <x v="14"/>
    <x v="14"/>
    <x v="676"/>
    <x v="0"/>
    <x v="279"/>
    <n v="1657.37"/>
    <n v="1657.37"/>
    <n v="0"/>
    <n v="1"/>
  </r>
  <r>
    <x v="3"/>
    <x v="0"/>
    <x v="14"/>
    <x v="14"/>
    <x v="677"/>
    <x v="0"/>
    <x v="103"/>
    <n v="2502.06"/>
    <n v="2502.06"/>
    <n v="0"/>
    <n v="1"/>
  </r>
  <r>
    <x v="3"/>
    <x v="0"/>
    <x v="14"/>
    <x v="14"/>
    <x v="678"/>
    <x v="0"/>
    <x v="172"/>
    <n v="725.33"/>
    <n v="725.33"/>
    <n v="0"/>
    <n v="1"/>
  </r>
  <r>
    <x v="3"/>
    <x v="0"/>
    <x v="14"/>
    <x v="14"/>
    <x v="679"/>
    <x v="0"/>
    <x v="45"/>
    <n v="9600.14"/>
    <n v="9600.14"/>
    <n v="0"/>
    <n v="1"/>
  </r>
  <r>
    <x v="3"/>
    <x v="0"/>
    <x v="14"/>
    <x v="14"/>
    <x v="680"/>
    <x v="0"/>
    <x v="14"/>
    <n v="3741.66"/>
    <n v="3741.66"/>
    <n v="0"/>
    <n v="1"/>
  </r>
  <r>
    <x v="3"/>
    <x v="0"/>
    <x v="14"/>
    <x v="14"/>
    <x v="681"/>
    <x v="0"/>
    <x v="335"/>
    <n v="2762.36"/>
    <n v="2762.36"/>
    <n v="0"/>
    <n v="1"/>
  </r>
  <r>
    <x v="3"/>
    <x v="0"/>
    <x v="14"/>
    <x v="14"/>
    <x v="682"/>
    <x v="0"/>
    <x v="81"/>
    <n v="858.4"/>
    <n v="858.4"/>
    <n v="0"/>
    <n v="1"/>
  </r>
  <r>
    <x v="3"/>
    <x v="0"/>
    <x v="14"/>
    <x v="14"/>
    <x v="683"/>
    <x v="0"/>
    <x v="246"/>
    <n v="2396.6"/>
    <n v="2396.6"/>
    <n v="0"/>
    <n v="1"/>
  </r>
  <r>
    <x v="3"/>
    <x v="0"/>
    <x v="14"/>
    <x v="14"/>
    <x v="684"/>
    <x v="0"/>
    <x v="190"/>
    <n v="2221.88"/>
    <n v="2221.88"/>
    <n v="0"/>
    <n v="1"/>
  </r>
  <r>
    <x v="3"/>
    <x v="0"/>
    <x v="14"/>
    <x v="14"/>
    <x v="685"/>
    <x v="0"/>
    <x v="99"/>
    <n v="8363.51"/>
    <n v="8363.51"/>
    <n v="0"/>
    <n v="1"/>
  </r>
  <r>
    <x v="3"/>
    <x v="0"/>
    <x v="14"/>
    <x v="14"/>
    <x v="686"/>
    <x v="0"/>
    <x v="235"/>
    <n v="1280.2"/>
    <n v="1280.2"/>
    <n v="0"/>
    <n v="1"/>
  </r>
  <r>
    <x v="3"/>
    <x v="0"/>
    <x v="14"/>
    <x v="14"/>
    <x v="687"/>
    <x v="0"/>
    <x v="336"/>
    <n v="1009.32"/>
    <n v="1009.32"/>
    <n v="0"/>
    <n v="1"/>
  </r>
  <r>
    <x v="3"/>
    <x v="0"/>
    <x v="14"/>
    <x v="14"/>
    <x v="688"/>
    <x v="0"/>
    <x v="90"/>
    <n v="7928.71"/>
    <n v="7928.71"/>
    <n v="0"/>
    <n v="1"/>
  </r>
  <r>
    <x v="3"/>
    <x v="0"/>
    <x v="14"/>
    <x v="14"/>
    <x v="689"/>
    <x v="0"/>
    <x v="99"/>
    <n v="5709.42"/>
    <n v="5709.42"/>
    <n v="0"/>
    <n v="1"/>
  </r>
  <r>
    <x v="3"/>
    <x v="0"/>
    <x v="14"/>
    <x v="14"/>
    <x v="690"/>
    <x v="0"/>
    <x v="10"/>
    <n v="7625.75"/>
    <n v="7625.75"/>
    <n v="0"/>
    <n v="1"/>
  </r>
  <r>
    <x v="3"/>
    <x v="0"/>
    <x v="14"/>
    <x v="14"/>
    <x v="691"/>
    <x v="0"/>
    <x v="337"/>
    <n v="1679.21"/>
    <n v="1679.21"/>
    <n v="0"/>
    <n v="1"/>
  </r>
  <r>
    <x v="3"/>
    <x v="0"/>
    <x v="14"/>
    <x v="14"/>
    <x v="692"/>
    <x v="0"/>
    <x v="188"/>
    <n v="686.53"/>
    <n v="686.53"/>
    <n v="0"/>
    <n v="1"/>
  </r>
  <r>
    <x v="3"/>
    <x v="0"/>
    <x v="14"/>
    <x v="14"/>
    <x v="693"/>
    <x v="0"/>
    <x v="338"/>
    <n v="714.28"/>
    <n v="714.28"/>
    <n v="0"/>
    <n v="1"/>
  </r>
  <r>
    <x v="3"/>
    <x v="0"/>
    <x v="14"/>
    <x v="14"/>
    <x v="694"/>
    <x v="0"/>
    <x v="184"/>
    <n v="744.59"/>
    <n v="744.59"/>
    <n v="0"/>
    <n v="1"/>
  </r>
  <r>
    <x v="3"/>
    <x v="0"/>
    <x v="14"/>
    <x v="14"/>
    <x v="695"/>
    <x v="0"/>
    <x v="339"/>
    <n v="828.83"/>
    <n v="828.83"/>
    <n v="0"/>
    <n v="1"/>
  </r>
  <r>
    <x v="3"/>
    <x v="0"/>
    <x v="14"/>
    <x v="14"/>
    <x v="696"/>
    <x v="0"/>
    <x v="271"/>
    <n v="922.13"/>
    <n v="922.13"/>
    <n v="0"/>
    <n v="1"/>
  </r>
  <r>
    <x v="3"/>
    <x v="0"/>
    <x v="14"/>
    <x v="14"/>
    <x v="697"/>
    <x v="0"/>
    <x v="21"/>
    <n v="997.98"/>
    <n v="997.98"/>
    <n v="0"/>
    <n v="1"/>
  </r>
  <r>
    <x v="3"/>
    <x v="0"/>
    <x v="14"/>
    <x v="14"/>
    <x v="698"/>
    <x v="0"/>
    <x v="275"/>
    <n v="1056.83"/>
    <n v="1056.83"/>
    <n v="0"/>
    <n v="1"/>
  </r>
  <r>
    <x v="3"/>
    <x v="0"/>
    <x v="14"/>
    <x v="14"/>
    <x v="699"/>
    <x v="0"/>
    <x v="75"/>
    <n v="1113"/>
    <n v="1113"/>
    <n v="0"/>
    <n v="1"/>
  </r>
  <r>
    <x v="3"/>
    <x v="0"/>
    <x v="14"/>
    <x v="14"/>
    <x v="700"/>
    <x v="0"/>
    <x v="20"/>
    <n v="1151.82"/>
    <n v="1151.82"/>
    <n v="0"/>
    <n v="1"/>
  </r>
  <r>
    <x v="3"/>
    <x v="0"/>
    <x v="14"/>
    <x v="14"/>
    <x v="701"/>
    <x v="0"/>
    <x v="340"/>
    <n v="1229.42"/>
    <n v="1229.42"/>
    <n v="0"/>
    <n v="1"/>
  </r>
  <r>
    <x v="3"/>
    <x v="0"/>
    <x v="14"/>
    <x v="14"/>
    <x v="702"/>
    <x v="0"/>
    <x v="70"/>
    <n v="1269.05"/>
    <n v="1269.05"/>
    <n v="0"/>
    <n v="1"/>
  </r>
  <r>
    <x v="3"/>
    <x v="0"/>
    <x v="14"/>
    <x v="14"/>
    <x v="703"/>
    <x v="0"/>
    <x v="184"/>
    <n v="1284.8699999999999"/>
    <n v="1284.8699999999999"/>
    <n v="0"/>
    <n v="1"/>
  </r>
  <r>
    <x v="3"/>
    <x v="0"/>
    <x v="14"/>
    <x v="14"/>
    <x v="704"/>
    <x v="0"/>
    <x v="260"/>
    <n v="1322.11"/>
    <n v="1322.11"/>
    <n v="0"/>
    <n v="1"/>
  </r>
  <r>
    <x v="3"/>
    <x v="0"/>
    <x v="14"/>
    <x v="14"/>
    <x v="705"/>
    <x v="0"/>
    <x v="19"/>
    <n v="1322.9"/>
    <n v="1322.9"/>
    <n v="0"/>
    <n v="1"/>
  </r>
  <r>
    <x v="3"/>
    <x v="0"/>
    <x v="14"/>
    <x v="14"/>
    <x v="706"/>
    <x v="0"/>
    <x v="11"/>
    <n v="1446.19"/>
    <n v="1446.19"/>
    <n v="0"/>
    <n v="1"/>
  </r>
  <r>
    <x v="3"/>
    <x v="0"/>
    <x v="14"/>
    <x v="14"/>
    <x v="707"/>
    <x v="0"/>
    <x v="282"/>
    <n v="599.04"/>
    <n v="599.04"/>
    <n v="0"/>
    <n v="1"/>
  </r>
  <r>
    <x v="3"/>
    <x v="0"/>
    <x v="14"/>
    <x v="14"/>
    <x v="708"/>
    <x v="0"/>
    <x v="316"/>
    <n v="1513.38"/>
    <n v="1513.38"/>
    <n v="0"/>
    <n v="1"/>
  </r>
  <r>
    <x v="3"/>
    <x v="0"/>
    <x v="14"/>
    <x v="14"/>
    <x v="709"/>
    <x v="0"/>
    <x v="341"/>
    <n v="358.11"/>
    <n v="358.11"/>
    <n v="0"/>
    <n v="1"/>
  </r>
  <r>
    <x v="3"/>
    <x v="0"/>
    <x v="14"/>
    <x v="14"/>
    <x v="710"/>
    <x v="6"/>
    <x v="342"/>
    <n v="-721.05"/>
    <n v="-721.05"/>
    <n v="0"/>
    <n v="1"/>
  </r>
  <r>
    <x v="3"/>
    <x v="0"/>
    <x v="14"/>
    <x v="14"/>
    <x v="711"/>
    <x v="6"/>
    <x v="343"/>
    <n v="-68263.63"/>
    <n v="-68263.63"/>
    <n v="0"/>
    <n v="1"/>
  </r>
  <r>
    <x v="3"/>
    <x v="0"/>
    <x v="14"/>
    <x v="14"/>
    <x v="712"/>
    <x v="6"/>
    <x v="344"/>
    <n v="-38236.5"/>
    <n v="-38236.5"/>
    <n v="0"/>
    <n v="1"/>
  </r>
  <r>
    <x v="3"/>
    <x v="0"/>
    <x v="14"/>
    <x v="14"/>
    <x v="713"/>
    <x v="6"/>
    <x v="345"/>
    <n v="-28147.63"/>
    <n v="-28147.63"/>
    <n v="0"/>
    <n v="1"/>
  </r>
  <r>
    <x v="3"/>
    <x v="0"/>
    <x v="14"/>
    <x v="14"/>
    <x v="714"/>
    <x v="6"/>
    <x v="346"/>
    <n v="-21154.44"/>
    <n v="-21154.44"/>
    <n v="0"/>
    <n v="1"/>
  </r>
  <r>
    <x v="3"/>
    <x v="0"/>
    <x v="14"/>
    <x v="14"/>
    <x v="715"/>
    <x v="6"/>
    <x v="347"/>
    <n v="-15878.85"/>
    <n v="-15878.85"/>
    <n v="0"/>
    <n v="1"/>
  </r>
  <r>
    <x v="3"/>
    <x v="0"/>
    <x v="14"/>
    <x v="14"/>
    <x v="716"/>
    <x v="6"/>
    <x v="348"/>
    <n v="-14092.02"/>
    <n v="-14092.02"/>
    <n v="0"/>
    <n v="1"/>
  </r>
  <r>
    <x v="3"/>
    <x v="0"/>
    <x v="14"/>
    <x v="14"/>
    <x v="717"/>
    <x v="6"/>
    <x v="349"/>
    <n v="-12197.64"/>
    <n v="-12197.64"/>
    <n v="0"/>
    <n v="1"/>
  </r>
  <r>
    <x v="3"/>
    <x v="0"/>
    <x v="14"/>
    <x v="14"/>
    <x v="718"/>
    <x v="6"/>
    <x v="350"/>
    <n v="-9137.56"/>
    <n v="-9137.56"/>
    <n v="0"/>
    <n v="1"/>
  </r>
  <r>
    <x v="3"/>
    <x v="0"/>
    <x v="14"/>
    <x v="14"/>
    <x v="719"/>
    <x v="6"/>
    <x v="351"/>
    <n v="-6950.9"/>
    <n v="-6950.9"/>
    <n v="0"/>
    <n v="1"/>
  </r>
  <r>
    <x v="3"/>
    <x v="0"/>
    <x v="14"/>
    <x v="14"/>
    <x v="720"/>
    <x v="6"/>
    <x v="352"/>
    <n v="-5470"/>
    <n v="-5470"/>
    <n v="0"/>
    <n v="1"/>
  </r>
  <r>
    <x v="3"/>
    <x v="0"/>
    <x v="14"/>
    <x v="14"/>
    <x v="721"/>
    <x v="6"/>
    <x v="353"/>
    <n v="-4264.7299999999996"/>
    <n v="-4264.7299999999996"/>
    <n v="0"/>
    <n v="1"/>
  </r>
  <r>
    <x v="3"/>
    <x v="0"/>
    <x v="14"/>
    <x v="14"/>
    <x v="722"/>
    <x v="6"/>
    <x v="354"/>
    <n v="-2288.62"/>
    <n v="-2288.62"/>
    <n v="0"/>
    <n v="1"/>
  </r>
  <r>
    <x v="3"/>
    <x v="0"/>
    <x v="14"/>
    <x v="14"/>
    <x v="723"/>
    <x v="6"/>
    <x v="355"/>
    <n v="-1515.25"/>
    <n v="-1515.25"/>
    <n v="0"/>
    <n v="1"/>
  </r>
  <r>
    <x v="3"/>
    <x v="0"/>
    <x v="14"/>
    <x v="14"/>
    <x v="724"/>
    <x v="6"/>
    <x v="356"/>
    <n v="-1345.01"/>
    <n v="-1345.01"/>
    <n v="0"/>
    <n v="1"/>
  </r>
  <r>
    <x v="3"/>
    <x v="0"/>
    <x v="14"/>
    <x v="14"/>
    <x v="725"/>
    <x v="6"/>
    <x v="357"/>
    <n v="-783.93"/>
    <n v="-783.93"/>
    <n v="0"/>
    <n v="1"/>
  </r>
  <r>
    <x v="3"/>
    <x v="0"/>
    <x v="14"/>
    <x v="14"/>
    <x v="726"/>
    <x v="0"/>
    <x v="86"/>
    <n v="107.72"/>
    <n v="107.72"/>
    <n v="0"/>
    <n v="1"/>
  </r>
  <r>
    <x v="3"/>
    <x v="0"/>
    <x v="14"/>
    <x v="14"/>
    <x v="727"/>
    <x v="0"/>
    <x v="146"/>
    <n v="1516.49"/>
    <n v="1516.49"/>
    <n v="0"/>
    <n v="1"/>
  </r>
  <r>
    <x v="3"/>
    <x v="0"/>
    <x v="14"/>
    <x v="14"/>
    <x v="728"/>
    <x v="0"/>
    <x v="15"/>
    <n v="1529.96"/>
    <n v="1529.96"/>
    <n v="0"/>
    <n v="1"/>
  </r>
  <r>
    <x v="3"/>
    <x v="0"/>
    <x v="14"/>
    <x v="14"/>
    <x v="729"/>
    <x v="0"/>
    <x v="315"/>
    <n v="1686.5"/>
    <n v="1686.5"/>
    <n v="0"/>
    <n v="1"/>
  </r>
  <r>
    <x v="3"/>
    <x v="0"/>
    <x v="14"/>
    <x v="14"/>
    <x v="730"/>
    <x v="0"/>
    <x v="162"/>
    <n v="4643.7"/>
    <n v="4643.7"/>
    <n v="0"/>
    <n v="1"/>
  </r>
  <r>
    <x v="3"/>
    <x v="0"/>
    <x v="14"/>
    <x v="14"/>
    <x v="731"/>
    <x v="0"/>
    <x v="95"/>
    <n v="711.63"/>
    <n v="711.63"/>
    <n v="0"/>
    <n v="1"/>
  </r>
  <r>
    <x v="3"/>
    <x v="0"/>
    <x v="14"/>
    <x v="14"/>
    <x v="732"/>
    <x v="0"/>
    <x v="169"/>
    <n v="4839.79"/>
    <n v="4839.79"/>
    <n v="0"/>
    <n v="1"/>
  </r>
  <r>
    <x v="3"/>
    <x v="0"/>
    <x v="14"/>
    <x v="14"/>
    <x v="733"/>
    <x v="0"/>
    <x v="358"/>
    <n v="5128.68"/>
    <n v="5128.68"/>
    <n v="0"/>
    <n v="1"/>
  </r>
  <r>
    <x v="3"/>
    <x v="0"/>
    <x v="14"/>
    <x v="14"/>
    <x v="734"/>
    <x v="0"/>
    <x v="247"/>
    <n v="5786.93"/>
    <n v="5786.93"/>
    <n v="0"/>
    <n v="1"/>
  </r>
  <r>
    <x v="3"/>
    <x v="0"/>
    <x v="14"/>
    <x v="14"/>
    <x v="735"/>
    <x v="0"/>
    <x v="9"/>
    <n v="6401.4"/>
    <n v="6401.4"/>
    <n v="0"/>
    <n v="1"/>
  </r>
  <r>
    <x v="3"/>
    <x v="0"/>
    <x v="14"/>
    <x v="14"/>
    <x v="736"/>
    <x v="0"/>
    <x v="21"/>
    <n v="1968.56"/>
    <n v="1968.56"/>
    <n v="0"/>
    <n v="1"/>
  </r>
  <r>
    <x v="3"/>
    <x v="0"/>
    <x v="14"/>
    <x v="14"/>
    <x v="737"/>
    <x v="0"/>
    <x v="359"/>
    <n v="6431.74"/>
    <n v="6431.74"/>
    <n v="0"/>
    <n v="1"/>
  </r>
  <r>
    <x v="3"/>
    <x v="0"/>
    <x v="14"/>
    <x v="14"/>
    <x v="738"/>
    <x v="0"/>
    <x v="289"/>
    <n v="5167.96"/>
    <n v="5167.96"/>
    <n v="0"/>
    <n v="1"/>
  </r>
  <r>
    <x v="3"/>
    <x v="0"/>
    <x v="14"/>
    <x v="14"/>
    <x v="739"/>
    <x v="0"/>
    <x v="360"/>
    <n v="7337.12"/>
    <n v="7337.12"/>
    <n v="0"/>
    <n v="1"/>
  </r>
  <r>
    <x v="3"/>
    <x v="0"/>
    <x v="14"/>
    <x v="14"/>
    <x v="740"/>
    <x v="0"/>
    <x v="41"/>
    <n v="5850.66"/>
    <n v="5850.66"/>
    <n v="0"/>
    <n v="1"/>
  </r>
  <r>
    <x v="3"/>
    <x v="0"/>
    <x v="14"/>
    <x v="14"/>
    <x v="741"/>
    <x v="0"/>
    <x v="341"/>
    <n v="841.64"/>
    <n v="841.64"/>
    <n v="0"/>
    <n v="1"/>
  </r>
  <r>
    <x v="3"/>
    <x v="0"/>
    <x v="14"/>
    <x v="14"/>
    <x v="742"/>
    <x v="0"/>
    <x v="33"/>
    <n v="1132.08"/>
    <n v="1132.08"/>
    <n v="0"/>
    <n v="1"/>
  </r>
  <r>
    <x v="3"/>
    <x v="0"/>
    <x v="14"/>
    <x v="14"/>
    <x v="743"/>
    <x v="0"/>
    <x v="361"/>
    <n v="1112.08"/>
    <n v="1112.08"/>
    <n v="0"/>
    <n v="1"/>
  </r>
  <r>
    <x v="3"/>
    <x v="0"/>
    <x v="14"/>
    <x v="14"/>
    <x v="744"/>
    <x v="0"/>
    <x v="362"/>
    <n v="9292.7900000000009"/>
    <n v="9292.7900000000009"/>
    <n v="0"/>
    <n v="1"/>
  </r>
  <r>
    <x v="3"/>
    <x v="0"/>
    <x v="14"/>
    <x v="14"/>
    <x v="745"/>
    <x v="0"/>
    <x v="87"/>
    <n v="2033.63"/>
    <n v="2033.63"/>
    <n v="0"/>
    <n v="1"/>
  </r>
  <r>
    <x v="3"/>
    <x v="0"/>
    <x v="14"/>
    <x v="14"/>
    <x v="746"/>
    <x v="0"/>
    <x v="102"/>
    <n v="4182.5600000000004"/>
    <n v="4182.5600000000004"/>
    <n v="0"/>
    <n v="1"/>
  </r>
  <r>
    <x v="3"/>
    <x v="0"/>
    <x v="14"/>
    <x v="14"/>
    <x v="747"/>
    <x v="0"/>
    <x v="337"/>
    <n v="2640.13"/>
    <n v="2640.13"/>
    <n v="0"/>
    <n v="1"/>
  </r>
  <r>
    <x v="3"/>
    <x v="0"/>
    <x v="14"/>
    <x v="14"/>
    <x v="748"/>
    <x v="0"/>
    <x v="204"/>
    <n v="3640.37"/>
    <n v="3640.37"/>
    <n v="0"/>
    <n v="1"/>
  </r>
  <r>
    <x v="3"/>
    <x v="0"/>
    <x v="14"/>
    <x v="14"/>
    <x v="749"/>
    <x v="0"/>
    <x v="15"/>
    <n v="1752.8"/>
    <n v="1752.8"/>
    <n v="0"/>
    <n v="1"/>
  </r>
  <r>
    <x v="3"/>
    <x v="0"/>
    <x v="14"/>
    <x v="14"/>
    <x v="750"/>
    <x v="0"/>
    <x v="15"/>
    <n v="1793.28"/>
    <n v="1793.28"/>
    <n v="0"/>
    <n v="1"/>
  </r>
  <r>
    <x v="3"/>
    <x v="0"/>
    <x v="14"/>
    <x v="14"/>
    <x v="751"/>
    <x v="0"/>
    <x v="293"/>
    <n v="1846.16"/>
    <n v="1846.16"/>
    <n v="0"/>
    <n v="1"/>
  </r>
  <r>
    <x v="3"/>
    <x v="0"/>
    <x v="14"/>
    <x v="14"/>
    <x v="752"/>
    <x v="0"/>
    <x v="87"/>
    <n v="1867.47"/>
    <n v="1867.47"/>
    <n v="0"/>
    <n v="1"/>
  </r>
  <r>
    <x v="3"/>
    <x v="0"/>
    <x v="14"/>
    <x v="14"/>
    <x v="753"/>
    <x v="0"/>
    <x v="42"/>
    <n v="1953.38"/>
    <n v="1953.38"/>
    <n v="0"/>
    <n v="1"/>
  </r>
  <r>
    <x v="3"/>
    <x v="0"/>
    <x v="14"/>
    <x v="14"/>
    <x v="754"/>
    <x v="0"/>
    <x v="363"/>
    <n v="1977.28"/>
    <n v="1977.28"/>
    <n v="0"/>
    <n v="1"/>
  </r>
  <r>
    <x v="3"/>
    <x v="0"/>
    <x v="14"/>
    <x v="14"/>
    <x v="755"/>
    <x v="0"/>
    <x v="338"/>
    <n v="2015.05"/>
    <n v="2015.05"/>
    <n v="0"/>
    <n v="1"/>
  </r>
  <r>
    <x v="3"/>
    <x v="0"/>
    <x v="14"/>
    <x v="14"/>
    <x v="756"/>
    <x v="0"/>
    <x v="322"/>
    <n v="1476.56"/>
    <n v="1476.56"/>
    <n v="0"/>
    <n v="1"/>
  </r>
  <r>
    <x v="3"/>
    <x v="0"/>
    <x v="14"/>
    <x v="14"/>
    <x v="757"/>
    <x v="0"/>
    <x v="20"/>
    <n v="2118.38"/>
    <n v="2118.38"/>
    <n v="0"/>
    <n v="1"/>
  </r>
  <r>
    <x v="3"/>
    <x v="0"/>
    <x v="14"/>
    <x v="14"/>
    <x v="758"/>
    <x v="0"/>
    <x v="361"/>
    <n v="2275.61"/>
    <n v="2275.61"/>
    <n v="0"/>
    <n v="1"/>
  </r>
  <r>
    <x v="3"/>
    <x v="0"/>
    <x v="14"/>
    <x v="14"/>
    <x v="759"/>
    <x v="0"/>
    <x v="137"/>
    <n v="2401.77"/>
    <n v="2401.77"/>
    <n v="0"/>
    <n v="1"/>
  </r>
  <r>
    <x v="3"/>
    <x v="0"/>
    <x v="14"/>
    <x v="14"/>
    <x v="760"/>
    <x v="0"/>
    <x v="256"/>
    <n v="2412.37"/>
    <n v="2412.37"/>
    <n v="0"/>
    <n v="1"/>
  </r>
  <r>
    <x v="3"/>
    <x v="0"/>
    <x v="14"/>
    <x v="14"/>
    <x v="761"/>
    <x v="0"/>
    <x v="81"/>
    <n v="512.38"/>
    <n v="512.38"/>
    <n v="0"/>
    <n v="1"/>
  </r>
  <r>
    <x v="3"/>
    <x v="0"/>
    <x v="14"/>
    <x v="14"/>
    <x v="762"/>
    <x v="0"/>
    <x v="364"/>
    <n v="2757.93"/>
    <n v="2757.93"/>
    <n v="0"/>
    <n v="1"/>
  </r>
  <r>
    <x v="3"/>
    <x v="0"/>
    <x v="14"/>
    <x v="14"/>
    <x v="763"/>
    <x v="0"/>
    <x v="17"/>
    <n v="2760.9"/>
    <n v="2760.9"/>
    <n v="0"/>
    <n v="1"/>
  </r>
  <r>
    <x v="3"/>
    <x v="0"/>
    <x v="14"/>
    <x v="14"/>
    <x v="764"/>
    <x v="0"/>
    <x v="192"/>
    <n v="3050.09"/>
    <n v="3050.09"/>
    <n v="0"/>
    <n v="1"/>
  </r>
  <r>
    <x v="3"/>
    <x v="0"/>
    <x v="14"/>
    <x v="14"/>
    <x v="765"/>
    <x v="0"/>
    <x v="284"/>
    <n v="2230.65"/>
    <n v="2230.65"/>
    <n v="0"/>
    <n v="1"/>
  </r>
  <r>
    <x v="3"/>
    <x v="0"/>
    <x v="14"/>
    <x v="14"/>
    <x v="766"/>
    <x v="0"/>
    <x v="335"/>
    <n v="6660"/>
    <n v="6660"/>
    <n v="0"/>
    <n v="1"/>
  </r>
  <r>
    <x v="3"/>
    <x v="0"/>
    <x v="14"/>
    <x v="14"/>
    <x v="767"/>
    <x v="6"/>
    <x v="365"/>
    <n v="-721.05"/>
    <n v="-721.05"/>
    <n v="0"/>
    <n v="1"/>
  </r>
  <r>
    <x v="3"/>
    <x v="0"/>
    <x v="14"/>
    <x v="14"/>
    <x v="768"/>
    <x v="0"/>
    <x v="114"/>
    <n v="12408.26"/>
    <n v="12408.26"/>
    <n v="0"/>
    <n v="1"/>
  </r>
  <r>
    <x v="3"/>
    <x v="0"/>
    <x v="14"/>
    <x v="14"/>
    <x v="769"/>
    <x v="0"/>
    <x v="120"/>
    <n v="10110.66"/>
    <n v="10110.66"/>
    <n v="0"/>
    <n v="1"/>
  </r>
  <r>
    <x v="3"/>
    <x v="0"/>
    <x v="14"/>
    <x v="14"/>
    <x v="770"/>
    <x v="0"/>
    <x v="240"/>
    <n v="1073.04"/>
    <n v="1073.04"/>
    <n v="0"/>
    <n v="1"/>
  </r>
  <r>
    <x v="3"/>
    <x v="0"/>
    <x v="14"/>
    <x v="14"/>
    <x v="771"/>
    <x v="0"/>
    <x v="251"/>
    <n v="14738.18"/>
    <n v="14738.18"/>
    <n v="0"/>
    <n v="1"/>
  </r>
  <r>
    <x v="3"/>
    <x v="0"/>
    <x v="14"/>
    <x v="14"/>
    <x v="772"/>
    <x v="0"/>
    <x v="228"/>
    <n v="3531.62"/>
    <n v="3531.62"/>
    <n v="0"/>
    <n v="1"/>
  </r>
  <r>
    <x v="3"/>
    <x v="0"/>
    <x v="14"/>
    <x v="14"/>
    <x v="773"/>
    <x v="0"/>
    <x v="169"/>
    <n v="1984.3"/>
    <n v="1984.3"/>
    <n v="0"/>
    <n v="1"/>
  </r>
  <r>
    <x v="3"/>
    <x v="0"/>
    <x v="14"/>
    <x v="14"/>
    <x v="774"/>
    <x v="0"/>
    <x v="186"/>
    <n v="2664.47"/>
    <n v="2664.47"/>
    <n v="0"/>
    <n v="1"/>
  </r>
  <r>
    <x v="3"/>
    <x v="0"/>
    <x v="14"/>
    <x v="14"/>
    <x v="775"/>
    <x v="0"/>
    <x v="30"/>
    <n v="8498.5499999999993"/>
    <n v="8498.5499999999993"/>
    <n v="0"/>
    <n v="1"/>
  </r>
  <r>
    <x v="3"/>
    <x v="0"/>
    <x v="14"/>
    <x v="14"/>
    <x v="776"/>
    <x v="0"/>
    <x v="113"/>
    <n v="10396.09"/>
    <n v="10396.09"/>
    <n v="0"/>
    <n v="1"/>
  </r>
  <r>
    <x v="3"/>
    <x v="0"/>
    <x v="14"/>
    <x v="14"/>
    <x v="777"/>
    <x v="0"/>
    <x v="91"/>
    <n v="10361.6"/>
    <n v="10361.6"/>
    <n v="0"/>
    <n v="1"/>
  </r>
  <r>
    <x v="3"/>
    <x v="0"/>
    <x v="14"/>
    <x v="14"/>
    <x v="778"/>
    <x v="0"/>
    <x v="240"/>
    <n v="1633.23"/>
    <n v="1633.23"/>
    <n v="0"/>
    <n v="1"/>
  </r>
  <r>
    <x v="3"/>
    <x v="0"/>
    <x v="14"/>
    <x v="14"/>
    <x v="779"/>
    <x v="0"/>
    <x v="125"/>
    <n v="27287.4"/>
    <n v="27287.4"/>
    <n v="0"/>
    <n v="1"/>
  </r>
  <r>
    <x v="3"/>
    <x v="0"/>
    <x v="14"/>
    <x v="14"/>
    <x v="780"/>
    <x v="0"/>
    <x v="109"/>
    <n v="26045.75"/>
    <n v="26045.75"/>
    <n v="0"/>
    <n v="1"/>
  </r>
  <r>
    <x v="3"/>
    <x v="0"/>
    <x v="14"/>
    <x v="14"/>
    <x v="781"/>
    <x v="0"/>
    <x v="173"/>
    <n v="5887.33"/>
    <n v="5887.33"/>
    <n v="0"/>
    <n v="1"/>
  </r>
  <r>
    <x v="3"/>
    <x v="0"/>
    <x v="14"/>
    <x v="14"/>
    <x v="782"/>
    <x v="0"/>
    <x v="37"/>
    <n v="6497.3"/>
    <n v="6497.3"/>
    <n v="0"/>
    <n v="1"/>
  </r>
  <r>
    <x v="3"/>
    <x v="0"/>
    <x v="14"/>
    <x v="14"/>
    <x v="783"/>
    <x v="0"/>
    <x v="123"/>
    <n v="7626.27"/>
    <n v="7626.27"/>
    <n v="0"/>
    <n v="1"/>
  </r>
  <r>
    <x v="3"/>
    <x v="0"/>
    <x v="14"/>
    <x v="14"/>
    <x v="784"/>
    <x v="0"/>
    <x v="240"/>
    <n v="2199.2199999999998"/>
    <n v="2199.2199999999998"/>
    <n v="0"/>
    <n v="1"/>
  </r>
  <r>
    <x v="3"/>
    <x v="0"/>
    <x v="14"/>
    <x v="14"/>
    <x v="785"/>
    <x v="0"/>
    <x v="111"/>
    <n v="9987.58"/>
    <n v="9987.58"/>
    <n v="0"/>
    <n v="1"/>
  </r>
  <r>
    <x v="3"/>
    <x v="0"/>
    <x v="14"/>
    <x v="14"/>
    <x v="786"/>
    <x v="0"/>
    <x v="147"/>
    <n v="1313.6"/>
    <n v="1313.6"/>
    <n v="0"/>
    <n v="1"/>
  </r>
  <r>
    <x v="3"/>
    <x v="0"/>
    <x v="14"/>
    <x v="14"/>
    <x v="787"/>
    <x v="0"/>
    <x v="0"/>
    <n v="17689.240000000002"/>
    <n v="17689.240000000002"/>
    <n v="0"/>
    <n v="1"/>
  </r>
  <r>
    <x v="3"/>
    <x v="0"/>
    <x v="14"/>
    <x v="14"/>
    <x v="788"/>
    <x v="0"/>
    <x v="48"/>
    <n v="1113.6199999999999"/>
    <n v="1113.6199999999999"/>
    <n v="0"/>
    <n v="1"/>
  </r>
  <r>
    <x v="3"/>
    <x v="0"/>
    <x v="14"/>
    <x v="14"/>
    <x v="789"/>
    <x v="0"/>
    <x v="111"/>
    <n v="4695.09"/>
    <n v="4695.09"/>
    <n v="0"/>
    <n v="1"/>
  </r>
  <r>
    <x v="3"/>
    <x v="0"/>
    <x v="14"/>
    <x v="14"/>
    <x v="790"/>
    <x v="0"/>
    <x v="45"/>
    <n v="4114.09"/>
    <n v="4114.09"/>
    <n v="0"/>
    <n v="1"/>
  </r>
  <r>
    <x v="3"/>
    <x v="0"/>
    <x v="14"/>
    <x v="14"/>
    <x v="791"/>
    <x v="0"/>
    <x v="123"/>
    <n v="3993.1"/>
    <n v="3993.1"/>
    <n v="0"/>
    <n v="1"/>
  </r>
  <r>
    <x v="3"/>
    <x v="0"/>
    <x v="14"/>
    <x v="14"/>
    <x v="792"/>
    <x v="0"/>
    <x v="251"/>
    <n v="8613.26"/>
    <n v="8613.26"/>
    <n v="0"/>
    <n v="1"/>
  </r>
  <r>
    <x v="3"/>
    <x v="0"/>
    <x v="14"/>
    <x v="14"/>
    <x v="793"/>
    <x v="0"/>
    <x v="110"/>
    <n v="1890.28"/>
    <n v="1890.28"/>
    <n v="0"/>
    <n v="1"/>
  </r>
  <r>
    <x v="3"/>
    <x v="0"/>
    <x v="14"/>
    <x v="14"/>
    <x v="794"/>
    <x v="0"/>
    <x v="98"/>
    <n v="1860.39"/>
    <n v="1860.39"/>
    <n v="0"/>
    <n v="1"/>
  </r>
  <r>
    <x v="3"/>
    <x v="0"/>
    <x v="14"/>
    <x v="14"/>
    <x v="795"/>
    <x v="0"/>
    <x v="107"/>
    <n v="17726.52"/>
    <n v="17726.52"/>
    <n v="0"/>
    <n v="1"/>
  </r>
  <r>
    <x v="3"/>
    <x v="0"/>
    <x v="14"/>
    <x v="14"/>
    <x v="796"/>
    <x v="0"/>
    <x v="175"/>
    <n v="6969.61"/>
    <n v="6969.61"/>
    <n v="0"/>
    <n v="1"/>
  </r>
  <r>
    <x v="3"/>
    <x v="0"/>
    <x v="14"/>
    <x v="14"/>
    <x v="797"/>
    <x v="0"/>
    <x v="366"/>
    <n v="2292.08"/>
    <n v="2292.08"/>
    <n v="0"/>
    <n v="1"/>
  </r>
  <r>
    <x v="3"/>
    <x v="0"/>
    <x v="14"/>
    <x v="14"/>
    <x v="798"/>
    <x v="0"/>
    <x v="175"/>
    <n v="17644.259999999998"/>
    <n v="17644.259999999998"/>
    <n v="0"/>
    <n v="1"/>
  </r>
  <r>
    <x v="3"/>
    <x v="0"/>
    <x v="14"/>
    <x v="14"/>
    <x v="799"/>
    <x v="0"/>
    <x v="45"/>
    <n v="4796.49"/>
    <n v="4796.49"/>
    <n v="0"/>
    <n v="1"/>
  </r>
  <r>
    <x v="3"/>
    <x v="0"/>
    <x v="14"/>
    <x v="14"/>
    <x v="800"/>
    <x v="0"/>
    <x v="117"/>
    <n v="5104.3500000000004"/>
    <n v="5104.3500000000004"/>
    <n v="0"/>
    <n v="1"/>
  </r>
  <r>
    <x v="3"/>
    <x v="0"/>
    <x v="14"/>
    <x v="14"/>
    <x v="801"/>
    <x v="0"/>
    <x v="251"/>
    <n v="3943.56"/>
    <n v="3943.56"/>
    <n v="0"/>
    <n v="1"/>
  </r>
  <r>
    <x v="3"/>
    <x v="0"/>
    <x v="14"/>
    <x v="14"/>
    <x v="802"/>
    <x v="0"/>
    <x v="103"/>
    <n v="2468.0700000000002"/>
    <n v="2468.0700000000002"/>
    <n v="0"/>
    <n v="1"/>
  </r>
  <r>
    <x v="3"/>
    <x v="0"/>
    <x v="15"/>
    <x v="15"/>
    <x v="803"/>
    <x v="0"/>
    <x v="110"/>
    <n v="5067.03"/>
    <n v="5067.03"/>
    <n v="0"/>
    <n v="1"/>
  </r>
  <r>
    <x v="3"/>
    <x v="0"/>
    <x v="15"/>
    <x v="15"/>
    <x v="804"/>
    <x v="0"/>
    <x v="159"/>
    <n v="1995.05"/>
    <n v="1995.05"/>
    <n v="0"/>
    <n v="1"/>
  </r>
  <r>
    <x v="3"/>
    <x v="0"/>
    <x v="15"/>
    <x v="15"/>
    <x v="805"/>
    <x v="0"/>
    <x v="44"/>
    <n v="2983.69"/>
    <n v="2983.69"/>
    <n v="0"/>
    <n v="1"/>
  </r>
  <r>
    <x v="3"/>
    <x v="0"/>
    <x v="15"/>
    <x v="15"/>
    <x v="806"/>
    <x v="0"/>
    <x v="367"/>
    <n v="2343.96"/>
    <n v="2343.96"/>
    <n v="0"/>
    <n v="1"/>
  </r>
  <r>
    <x v="3"/>
    <x v="0"/>
    <x v="15"/>
    <x v="15"/>
    <x v="807"/>
    <x v="0"/>
    <x v="368"/>
    <n v="1161.82"/>
    <n v="1161.82"/>
    <n v="0"/>
    <n v="1"/>
  </r>
  <r>
    <x v="3"/>
    <x v="0"/>
    <x v="15"/>
    <x v="15"/>
    <x v="808"/>
    <x v="0"/>
    <x v="22"/>
    <n v="2877.8"/>
    <n v="2877.8"/>
    <n v="0"/>
    <n v="1"/>
  </r>
  <r>
    <x v="3"/>
    <x v="0"/>
    <x v="15"/>
    <x v="15"/>
    <x v="809"/>
    <x v="0"/>
    <x v="369"/>
    <n v="2028.34"/>
    <n v="2028.34"/>
    <n v="0"/>
    <n v="1"/>
  </r>
  <r>
    <x v="3"/>
    <x v="0"/>
    <x v="15"/>
    <x v="15"/>
    <x v="810"/>
    <x v="0"/>
    <x v="11"/>
    <n v="2078.56"/>
    <n v="2078.56"/>
    <n v="0"/>
    <n v="1"/>
  </r>
  <r>
    <x v="3"/>
    <x v="0"/>
    <x v="15"/>
    <x v="15"/>
    <x v="811"/>
    <x v="0"/>
    <x v="16"/>
    <n v="2284.56"/>
    <n v="2284.56"/>
    <n v="0"/>
    <n v="1"/>
  </r>
  <r>
    <x v="3"/>
    <x v="0"/>
    <x v="15"/>
    <x v="15"/>
    <x v="812"/>
    <x v="0"/>
    <x v="240"/>
    <n v="2137.27"/>
    <n v="2137.27"/>
    <n v="0"/>
    <n v="1"/>
  </r>
  <r>
    <x v="3"/>
    <x v="0"/>
    <x v="15"/>
    <x v="15"/>
    <x v="813"/>
    <x v="0"/>
    <x v="277"/>
    <n v="9833.0499999999993"/>
    <n v="9833.0499999999993"/>
    <n v="0"/>
    <n v="1"/>
  </r>
  <r>
    <x v="3"/>
    <x v="0"/>
    <x v="15"/>
    <x v="15"/>
    <x v="814"/>
    <x v="0"/>
    <x v="312"/>
    <n v="3443.48"/>
    <n v="3443.48"/>
    <n v="0"/>
    <n v="1"/>
  </r>
  <r>
    <x v="3"/>
    <x v="0"/>
    <x v="15"/>
    <x v="15"/>
    <x v="815"/>
    <x v="0"/>
    <x v="370"/>
    <n v="2500.06"/>
    <n v="2500.06"/>
    <n v="0"/>
    <n v="1"/>
  </r>
  <r>
    <x v="3"/>
    <x v="0"/>
    <x v="15"/>
    <x v="15"/>
    <x v="816"/>
    <x v="0"/>
    <x v="173"/>
    <n v="4865.79"/>
    <n v="4865.79"/>
    <n v="0"/>
    <n v="1"/>
  </r>
  <r>
    <x v="3"/>
    <x v="0"/>
    <x v="15"/>
    <x v="15"/>
    <x v="817"/>
    <x v="0"/>
    <x v="18"/>
    <n v="3447.52"/>
    <n v="3447.52"/>
    <n v="0"/>
    <n v="1"/>
  </r>
  <r>
    <x v="3"/>
    <x v="0"/>
    <x v="15"/>
    <x v="15"/>
    <x v="818"/>
    <x v="0"/>
    <x v="313"/>
    <n v="12213.05"/>
    <n v="12213.05"/>
    <n v="0"/>
    <n v="1"/>
  </r>
  <r>
    <x v="3"/>
    <x v="0"/>
    <x v="15"/>
    <x v="15"/>
    <x v="819"/>
    <x v="0"/>
    <x v="107"/>
    <n v="13005.3"/>
    <n v="13005.3"/>
    <n v="0"/>
    <n v="1"/>
  </r>
  <r>
    <x v="3"/>
    <x v="0"/>
    <x v="15"/>
    <x v="15"/>
    <x v="820"/>
    <x v="0"/>
    <x v="167"/>
    <n v="1688.66"/>
    <n v="1688.66"/>
    <n v="0"/>
    <n v="1"/>
  </r>
  <r>
    <x v="3"/>
    <x v="0"/>
    <x v="15"/>
    <x v="15"/>
    <x v="821"/>
    <x v="0"/>
    <x v="112"/>
    <n v="3696.46"/>
    <n v="3696.46"/>
    <n v="0"/>
    <n v="1"/>
  </r>
  <r>
    <x v="3"/>
    <x v="0"/>
    <x v="15"/>
    <x v="15"/>
    <x v="822"/>
    <x v="0"/>
    <x v="249"/>
    <n v="9258"/>
    <n v="9258"/>
    <n v="0"/>
    <n v="1"/>
  </r>
  <r>
    <x v="3"/>
    <x v="0"/>
    <x v="15"/>
    <x v="15"/>
    <x v="823"/>
    <x v="0"/>
    <x v="213"/>
    <n v="1760.83"/>
    <n v="1760.83"/>
    <n v="0"/>
    <n v="1"/>
  </r>
  <r>
    <x v="3"/>
    <x v="0"/>
    <x v="15"/>
    <x v="15"/>
    <x v="824"/>
    <x v="0"/>
    <x v="179"/>
    <n v="5661.85"/>
    <n v="5661.85"/>
    <n v="0"/>
    <n v="1"/>
  </r>
  <r>
    <x v="3"/>
    <x v="0"/>
    <x v="15"/>
    <x v="15"/>
    <x v="825"/>
    <x v="0"/>
    <x v="154"/>
    <n v="4489.08"/>
    <n v="4489.08"/>
    <n v="0"/>
    <n v="1"/>
  </r>
  <r>
    <x v="3"/>
    <x v="0"/>
    <x v="15"/>
    <x v="15"/>
    <x v="826"/>
    <x v="0"/>
    <x v="30"/>
    <n v="13409.52"/>
    <n v="13409.52"/>
    <n v="0"/>
    <n v="1"/>
  </r>
  <r>
    <x v="3"/>
    <x v="0"/>
    <x v="15"/>
    <x v="15"/>
    <x v="827"/>
    <x v="0"/>
    <x v="371"/>
    <n v="4405.99"/>
    <n v="4405.99"/>
    <n v="0"/>
    <n v="1"/>
  </r>
  <r>
    <x v="3"/>
    <x v="0"/>
    <x v="15"/>
    <x v="15"/>
    <x v="828"/>
    <x v="0"/>
    <x v="14"/>
    <n v="3817.99"/>
    <n v="3817.99"/>
    <n v="0"/>
    <n v="1"/>
  </r>
  <r>
    <x v="3"/>
    <x v="0"/>
    <x v="15"/>
    <x v="15"/>
    <x v="829"/>
    <x v="0"/>
    <x v="94"/>
    <n v="6125.76"/>
    <n v="6125.76"/>
    <n v="0"/>
    <n v="1"/>
  </r>
  <r>
    <x v="3"/>
    <x v="0"/>
    <x v="15"/>
    <x v="15"/>
    <x v="830"/>
    <x v="0"/>
    <x v="179"/>
    <n v="13047.91"/>
    <n v="13047.91"/>
    <n v="0"/>
    <n v="1"/>
  </r>
  <r>
    <x v="3"/>
    <x v="0"/>
    <x v="15"/>
    <x v="15"/>
    <x v="831"/>
    <x v="0"/>
    <x v="241"/>
    <n v="3335.92"/>
    <n v="3335.92"/>
    <n v="0"/>
    <n v="1"/>
  </r>
  <r>
    <x v="3"/>
    <x v="0"/>
    <x v="15"/>
    <x v="15"/>
    <x v="832"/>
    <x v="0"/>
    <x v="372"/>
    <n v="3196.15"/>
    <n v="3196.15"/>
    <n v="0"/>
    <n v="1"/>
  </r>
  <r>
    <x v="3"/>
    <x v="0"/>
    <x v="15"/>
    <x v="15"/>
    <x v="833"/>
    <x v="0"/>
    <x v="148"/>
    <n v="3068.52"/>
    <n v="3068.52"/>
    <n v="0"/>
    <n v="1"/>
  </r>
  <r>
    <x v="3"/>
    <x v="0"/>
    <x v="15"/>
    <x v="15"/>
    <x v="834"/>
    <x v="0"/>
    <x v="203"/>
    <n v="1757.64"/>
    <n v="1757.64"/>
    <n v="0"/>
    <n v="1"/>
  </r>
  <r>
    <x v="3"/>
    <x v="0"/>
    <x v="15"/>
    <x v="15"/>
    <x v="835"/>
    <x v="0"/>
    <x v="271"/>
    <n v="2408.5700000000002"/>
    <n v="2408.5700000000002"/>
    <n v="0"/>
    <n v="1"/>
  </r>
  <r>
    <x v="3"/>
    <x v="0"/>
    <x v="15"/>
    <x v="15"/>
    <x v="836"/>
    <x v="0"/>
    <x v="373"/>
    <n v="771.39"/>
    <n v="771.39"/>
    <n v="0"/>
    <n v="1"/>
  </r>
  <r>
    <x v="3"/>
    <x v="0"/>
    <x v="15"/>
    <x v="15"/>
    <x v="837"/>
    <x v="6"/>
    <x v="374"/>
    <n v="-8435.61"/>
    <n v="-8435.61"/>
    <n v="0"/>
    <n v="1"/>
  </r>
  <r>
    <x v="3"/>
    <x v="0"/>
    <x v="15"/>
    <x v="15"/>
    <x v="838"/>
    <x v="0"/>
    <x v="45"/>
    <n v="5843.09"/>
    <n v="5843.09"/>
    <n v="0"/>
    <n v="1"/>
  </r>
  <r>
    <x v="3"/>
    <x v="0"/>
    <x v="15"/>
    <x v="15"/>
    <x v="839"/>
    <x v="0"/>
    <x v="217"/>
    <n v="655.29999999999995"/>
    <n v="655.29999999999995"/>
    <n v="0"/>
    <n v="1"/>
  </r>
  <r>
    <x v="3"/>
    <x v="0"/>
    <x v="15"/>
    <x v="15"/>
    <x v="840"/>
    <x v="0"/>
    <x v="228"/>
    <n v="7412.05"/>
    <n v="7412.05"/>
    <n v="0"/>
    <n v="1"/>
  </r>
  <r>
    <x v="3"/>
    <x v="0"/>
    <x v="15"/>
    <x v="15"/>
    <x v="841"/>
    <x v="0"/>
    <x v="83"/>
    <n v="676.73"/>
    <n v="676.73"/>
    <n v="0"/>
    <n v="1"/>
  </r>
  <r>
    <x v="3"/>
    <x v="0"/>
    <x v="15"/>
    <x v="15"/>
    <x v="842"/>
    <x v="0"/>
    <x v="122"/>
    <n v="5058.8"/>
    <n v="5058.8"/>
    <n v="0"/>
    <n v="1"/>
  </r>
  <r>
    <x v="3"/>
    <x v="0"/>
    <x v="15"/>
    <x v="15"/>
    <x v="843"/>
    <x v="0"/>
    <x v="96"/>
    <n v="5858.4"/>
    <n v="5858.4"/>
    <n v="0"/>
    <n v="1"/>
  </r>
  <r>
    <x v="3"/>
    <x v="0"/>
    <x v="15"/>
    <x v="15"/>
    <x v="844"/>
    <x v="0"/>
    <x v="45"/>
    <n v="2868.44"/>
    <n v="2868.44"/>
    <n v="0"/>
    <n v="1"/>
  </r>
  <r>
    <x v="3"/>
    <x v="0"/>
    <x v="15"/>
    <x v="15"/>
    <x v="845"/>
    <x v="0"/>
    <x v="123"/>
    <n v="4421.12"/>
    <n v="4421.12"/>
    <n v="0"/>
    <n v="1"/>
  </r>
  <r>
    <x v="3"/>
    <x v="0"/>
    <x v="15"/>
    <x v="15"/>
    <x v="846"/>
    <x v="0"/>
    <x v="143"/>
    <n v="975.4"/>
    <n v="975.4"/>
    <n v="0"/>
    <n v="1"/>
  </r>
  <r>
    <x v="3"/>
    <x v="0"/>
    <x v="15"/>
    <x v="15"/>
    <x v="847"/>
    <x v="0"/>
    <x v="181"/>
    <n v="5551.63"/>
    <n v="5551.63"/>
    <n v="0"/>
    <n v="1"/>
  </r>
  <r>
    <x v="3"/>
    <x v="0"/>
    <x v="15"/>
    <x v="15"/>
    <x v="848"/>
    <x v="0"/>
    <x v="279"/>
    <n v="1340.5"/>
    <n v="1340.5"/>
    <n v="0"/>
    <n v="1"/>
  </r>
  <r>
    <x v="3"/>
    <x v="0"/>
    <x v="15"/>
    <x v="15"/>
    <x v="849"/>
    <x v="0"/>
    <x v="160"/>
    <n v="11376.96"/>
    <n v="11376.96"/>
    <n v="0"/>
    <n v="1"/>
  </r>
  <r>
    <x v="3"/>
    <x v="0"/>
    <x v="15"/>
    <x v="15"/>
    <x v="850"/>
    <x v="0"/>
    <x v="240"/>
    <n v="3365.89"/>
    <n v="3365.89"/>
    <n v="0"/>
    <n v="1"/>
  </r>
  <r>
    <x v="3"/>
    <x v="0"/>
    <x v="15"/>
    <x v="15"/>
    <x v="851"/>
    <x v="0"/>
    <x v="375"/>
    <n v="7124.51"/>
    <n v="7124.51"/>
    <n v="0"/>
    <n v="1"/>
  </r>
  <r>
    <x v="3"/>
    <x v="0"/>
    <x v="15"/>
    <x v="15"/>
    <x v="852"/>
    <x v="0"/>
    <x v="183"/>
    <n v="1967.68"/>
    <n v="1967.68"/>
    <n v="0"/>
    <n v="1"/>
  </r>
  <r>
    <x v="3"/>
    <x v="0"/>
    <x v="15"/>
    <x v="15"/>
    <x v="853"/>
    <x v="0"/>
    <x v="84"/>
    <n v="1132.08"/>
    <n v="1132.08"/>
    <n v="0"/>
    <n v="1"/>
  </r>
  <r>
    <x v="3"/>
    <x v="0"/>
    <x v="15"/>
    <x v="15"/>
    <x v="854"/>
    <x v="0"/>
    <x v="297"/>
    <n v="1475.96"/>
    <n v="1475.96"/>
    <n v="0"/>
    <n v="1"/>
  </r>
  <r>
    <x v="3"/>
    <x v="0"/>
    <x v="15"/>
    <x v="15"/>
    <x v="855"/>
    <x v="0"/>
    <x v="138"/>
    <n v="1448.12"/>
    <n v="1448.12"/>
    <n v="0"/>
    <n v="1"/>
  </r>
  <r>
    <x v="3"/>
    <x v="0"/>
    <x v="15"/>
    <x v="15"/>
    <x v="856"/>
    <x v="0"/>
    <x v="166"/>
    <n v="1420.57"/>
    <n v="1420.57"/>
    <n v="0"/>
    <n v="1"/>
  </r>
  <r>
    <x v="3"/>
    <x v="0"/>
    <x v="15"/>
    <x v="15"/>
    <x v="857"/>
    <x v="0"/>
    <x v="124"/>
    <n v="2308.13"/>
    <n v="2308.13"/>
    <n v="0"/>
    <n v="1"/>
  </r>
  <r>
    <x v="3"/>
    <x v="0"/>
    <x v="15"/>
    <x v="15"/>
    <x v="858"/>
    <x v="0"/>
    <x v="45"/>
    <n v="4252.6099999999997"/>
    <n v="4252.6099999999997"/>
    <n v="0"/>
    <n v="1"/>
  </r>
  <r>
    <x v="3"/>
    <x v="0"/>
    <x v="15"/>
    <x v="15"/>
    <x v="859"/>
    <x v="0"/>
    <x v="73"/>
    <n v="1132.08"/>
    <n v="1132.08"/>
    <n v="0"/>
    <n v="1"/>
  </r>
  <r>
    <x v="3"/>
    <x v="0"/>
    <x v="15"/>
    <x v="15"/>
    <x v="860"/>
    <x v="0"/>
    <x v="104"/>
    <n v="1477.92"/>
    <n v="1477.92"/>
    <n v="0"/>
    <n v="1"/>
  </r>
  <r>
    <x v="3"/>
    <x v="0"/>
    <x v="15"/>
    <x v="15"/>
    <x v="861"/>
    <x v="0"/>
    <x v="91"/>
    <n v="12629.96"/>
    <n v="12629.96"/>
    <n v="0"/>
    <n v="1"/>
  </r>
  <r>
    <x v="3"/>
    <x v="0"/>
    <x v="15"/>
    <x v="15"/>
    <x v="862"/>
    <x v="0"/>
    <x v="103"/>
    <n v="6336.79"/>
    <n v="6336.79"/>
    <n v="0"/>
    <n v="1"/>
  </r>
  <r>
    <x v="3"/>
    <x v="0"/>
    <x v="15"/>
    <x v="15"/>
    <x v="863"/>
    <x v="0"/>
    <x v="112"/>
    <n v="3019.76"/>
    <n v="3019.76"/>
    <n v="0"/>
    <n v="1"/>
  </r>
  <r>
    <x v="3"/>
    <x v="0"/>
    <x v="15"/>
    <x v="15"/>
    <x v="864"/>
    <x v="0"/>
    <x v="19"/>
    <n v="1258.26"/>
    <n v="1258.26"/>
    <n v="0"/>
    <n v="1"/>
  </r>
  <r>
    <x v="3"/>
    <x v="0"/>
    <x v="15"/>
    <x v="15"/>
    <x v="865"/>
    <x v="6"/>
    <x v="376"/>
    <n v="-11021.84"/>
    <n v="-11021.84"/>
    <n v="0"/>
    <n v="1"/>
  </r>
  <r>
    <x v="3"/>
    <x v="0"/>
    <x v="16"/>
    <x v="16"/>
    <x v="866"/>
    <x v="0"/>
    <x v="225"/>
    <n v="780.61"/>
    <n v="780.61"/>
    <n v="0"/>
    <n v="1"/>
  </r>
  <r>
    <x v="3"/>
    <x v="0"/>
    <x v="16"/>
    <x v="16"/>
    <x v="867"/>
    <x v="0"/>
    <x v="247"/>
    <n v="2568.35"/>
    <n v="2568.35"/>
    <n v="0"/>
    <n v="1"/>
  </r>
  <r>
    <x v="3"/>
    <x v="0"/>
    <x v="16"/>
    <x v="16"/>
    <x v="868"/>
    <x v="0"/>
    <x v="112"/>
    <n v="9291.2099999999991"/>
    <n v="9291.2099999999991"/>
    <n v="0"/>
    <n v="1"/>
  </r>
  <r>
    <x v="3"/>
    <x v="0"/>
    <x v="16"/>
    <x v="16"/>
    <x v="869"/>
    <x v="0"/>
    <x v="37"/>
    <n v="6953.97"/>
    <n v="6953.97"/>
    <n v="0"/>
    <n v="1"/>
  </r>
  <r>
    <x v="3"/>
    <x v="0"/>
    <x v="16"/>
    <x v="16"/>
    <x v="870"/>
    <x v="0"/>
    <x v="162"/>
    <n v="3226.32"/>
    <n v="3226.32"/>
    <n v="0"/>
    <n v="1"/>
  </r>
  <r>
    <x v="3"/>
    <x v="0"/>
    <x v="16"/>
    <x v="16"/>
    <x v="871"/>
    <x v="0"/>
    <x v="104"/>
    <n v="6409.06"/>
    <n v="6409.06"/>
    <n v="0"/>
    <n v="1"/>
  </r>
  <r>
    <x v="3"/>
    <x v="0"/>
    <x v="16"/>
    <x v="16"/>
    <x v="872"/>
    <x v="0"/>
    <x v="106"/>
    <n v="17823.72"/>
    <n v="17823.72"/>
    <n v="0"/>
    <n v="1"/>
  </r>
  <r>
    <x v="3"/>
    <x v="0"/>
    <x v="16"/>
    <x v="16"/>
    <x v="873"/>
    <x v="0"/>
    <x v="369"/>
    <n v="1025.3499999999999"/>
    <n v="1025.3499999999999"/>
    <n v="0"/>
    <n v="1"/>
  </r>
  <r>
    <x v="3"/>
    <x v="0"/>
    <x v="16"/>
    <x v="16"/>
    <x v="874"/>
    <x v="0"/>
    <x v="333"/>
    <n v="4804.59"/>
    <n v="4804.59"/>
    <n v="0"/>
    <n v="1"/>
  </r>
  <r>
    <x v="3"/>
    <x v="0"/>
    <x v="16"/>
    <x v="16"/>
    <x v="875"/>
    <x v="0"/>
    <x v="150"/>
    <n v="23202.65"/>
    <n v="23202.65"/>
    <n v="0"/>
    <n v="1"/>
  </r>
  <r>
    <x v="3"/>
    <x v="0"/>
    <x v="16"/>
    <x v="16"/>
    <x v="876"/>
    <x v="0"/>
    <x v="94"/>
    <n v="4342.07"/>
    <n v="4342.07"/>
    <n v="0"/>
    <n v="1"/>
  </r>
  <r>
    <x v="3"/>
    <x v="0"/>
    <x v="16"/>
    <x v="16"/>
    <x v="877"/>
    <x v="0"/>
    <x v="181"/>
    <n v="2561.5700000000002"/>
    <n v="2561.5700000000002"/>
    <n v="0"/>
    <n v="1"/>
  </r>
  <r>
    <x v="3"/>
    <x v="0"/>
    <x v="16"/>
    <x v="16"/>
    <x v="878"/>
    <x v="0"/>
    <x v="0"/>
    <n v="20959.04"/>
    <n v="20959.04"/>
    <n v="0"/>
    <n v="1"/>
  </r>
  <r>
    <x v="3"/>
    <x v="0"/>
    <x v="16"/>
    <x v="16"/>
    <x v="879"/>
    <x v="0"/>
    <x v="256"/>
    <n v="4260.04"/>
    <n v="4260.04"/>
    <n v="0"/>
    <n v="1"/>
  </r>
  <r>
    <x v="3"/>
    <x v="0"/>
    <x v="16"/>
    <x v="16"/>
    <x v="880"/>
    <x v="0"/>
    <x v="80"/>
    <n v="897.17"/>
    <n v="897.17"/>
    <n v="0"/>
    <n v="1"/>
  </r>
  <r>
    <x v="3"/>
    <x v="0"/>
    <x v="16"/>
    <x v="16"/>
    <x v="881"/>
    <x v="0"/>
    <x v="71"/>
    <n v="630.55999999999995"/>
    <n v="630.55999999999995"/>
    <n v="0"/>
    <n v="1"/>
  </r>
  <r>
    <x v="3"/>
    <x v="0"/>
    <x v="16"/>
    <x v="16"/>
    <x v="882"/>
    <x v="0"/>
    <x v="148"/>
    <n v="4223.38"/>
    <n v="4223.38"/>
    <n v="0"/>
    <n v="1"/>
  </r>
  <r>
    <x v="3"/>
    <x v="0"/>
    <x v="16"/>
    <x v="16"/>
    <x v="883"/>
    <x v="0"/>
    <x v="97"/>
    <n v="14192.88"/>
    <n v="14192.88"/>
    <n v="0"/>
    <n v="1"/>
  </r>
  <r>
    <x v="3"/>
    <x v="0"/>
    <x v="16"/>
    <x v="16"/>
    <x v="884"/>
    <x v="0"/>
    <x v="90"/>
    <n v="9906.08"/>
    <n v="9906.08"/>
    <n v="0"/>
    <n v="1"/>
  </r>
  <r>
    <x v="3"/>
    <x v="0"/>
    <x v="16"/>
    <x v="16"/>
    <x v="885"/>
    <x v="0"/>
    <x v="147"/>
    <n v="868.24"/>
    <n v="868.24"/>
    <n v="0"/>
    <n v="1"/>
  </r>
  <r>
    <x v="3"/>
    <x v="0"/>
    <x v="16"/>
    <x v="16"/>
    <x v="886"/>
    <x v="0"/>
    <x v="35"/>
    <n v="474.72"/>
    <n v="474.72"/>
    <n v="0"/>
    <n v="1"/>
  </r>
  <r>
    <x v="3"/>
    <x v="0"/>
    <x v="16"/>
    <x v="16"/>
    <x v="887"/>
    <x v="0"/>
    <x v="155"/>
    <n v="13523.81"/>
    <n v="13523.81"/>
    <n v="0"/>
    <n v="1"/>
  </r>
  <r>
    <x v="3"/>
    <x v="0"/>
    <x v="16"/>
    <x v="16"/>
    <x v="888"/>
    <x v="0"/>
    <x v="147"/>
    <n v="1042.26"/>
    <n v="1042.26"/>
    <n v="0"/>
    <n v="1"/>
  </r>
  <r>
    <x v="3"/>
    <x v="0"/>
    <x v="16"/>
    <x v="16"/>
    <x v="889"/>
    <x v="0"/>
    <x v="377"/>
    <n v="2046.52"/>
    <n v="2046.52"/>
    <n v="0"/>
    <n v="1"/>
  </r>
  <r>
    <x v="3"/>
    <x v="0"/>
    <x v="16"/>
    <x v="16"/>
    <x v="890"/>
    <x v="0"/>
    <x v="238"/>
    <n v="1956.03"/>
    <n v="1956.03"/>
    <n v="0"/>
    <n v="1"/>
  </r>
  <r>
    <x v="3"/>
    <x v="0"/>
    <x v="16"/>
    <x v="16"/>
    <x v="891"/>
    <x v="6"/>
    <x v="378"/>
    <n v="-8156.8"/>
    <n v="-8156.8"/>
    <n v="0"/>
    <n v="1"/>
  </r>
  <r>
    <x v="3"/>
    <x v="0"/>
    <x v="16"/>
    <x v="16"/>
    <x v="892"/>
    <x v="6"/>
    <x v="379"/>
    <n v="-15167.6"/>
    <n v="-15167.6"/>
    <n v="0"/>
    <n v="1"/>
  </r>
  <r>
    <x v="3"/>
    <x v="0"/>
    <x v="16"/>
    <x v="16"/>
    <x v="893"/>
    <x v="0"/>
    <x v="298"/>
    <n v="1185.99"/>
    <n v="1185.99"/>
    <n v="0"/>
    <n v="1"/>
  </r>
  <r>
    <x v="3"/>
    <x v="0"/>
    <x v="16"/>
    <x v="16"/>
    <x v="894"/>
    <x v="0"/>
    <x v="103"/>
    <n v="2668.14"/>
    <n v="2668.14"/>
    <n v="0"/>
    <n v="1"/>
  </r>
  <r>
    <x v="3"/>
    <x v="0"/>
    <x v="16"/>
    <x v="16"/>
    <x v="895"/>
    <x v="0"/>
    <x v="380"/>
    <n v="783.88"/>
    <n v="783.88"/>
    <n v="0"/>
    <n v="1"/>
  </r>
  <r>
    <x v="3"/>
    <x v="0"/>
    <x v="16"/>
    <x v="16"/>
    <x v="896"/>
    <x v="0"/>
    <x v="136"/>
    <n v="1488.57"/>
    <n v="1488.57"/>
    <n v="0"/>
    <n v="1"/>
  </r>
  <r>
    <x v="3"/>
    <x v="0"/>
    <x v="16"/>
    <x v="16"/>
    <x v="897"/>
    <x v="0"/>
    <x v="319"/>
    <n v="3751.7"/>
    <n v="3751.7"/>
    <n v="0"/>
    <n v="1"/>
  </r>
  <r>
    <x v="3"/>
    <x v="0"/>
    <x v="16"/>
    <x v="16"/>
    <x v="898"/>
    <x v="0"/>
    <x v="98"/>
    <n v="3151.04"/>
    <n v="3151.04"/>
    <n v="0"/>
    <n v="1"/>
  </r>
  <r>
    <x v="3"/>
    <x v="0"/>
    <x v="16"/>
    <x v="16"/>
    <x v="899"/>
    <x v="0"/>
    <x v="310"/>
    <n v="2795.18"/>
    <n v="2795.18"/>
    <n v="0"/>
    <n v="1"/>
  </r>
  <r>
    <x v="3"/>
    <x v="0"/>
    <x v="16"/>
    <x v="16"/>
    <x v="900"/>
    <x v="6"/>
    <x v="381"/>
    <n v="-4654.8100000000004"/>
    <n v="-4654.8100000000004"/>
    <n v="0"/>
    <n v="1"/>
  </r>
  <r>
    <x v="3"/>
    <x v="0"/>
    <x v="16"/>
    <x v="16"/>
    <x v="901"/>
    <x v="0"/>
    <x v="90"/>
    <n v="3183.44"/>
    <n v="3183.44"/>
    <n v="0"/>
    <n v="1"/>
  </r>
  <r>
    <x v="3"/>
    <x v="0"/>
    <x v="16"/>
    <x v="16"/>
    <x v="902"/>
    <x v="0"/>
    <x v="382"/>
    <n v="2503.16"/>
    <n v="2503.16"/>
    <n v="0"/>
    <n v="1"/>
  </r>
  <r>
    <x v="3"/>
    <x v="0"/>
    <x v="16"/>
    <x v="16"/>
    <x v="903"/>
    <x v="0"/>
    <x v="108"/>
    <n v="12180.21"/>
    <n v="12180.21"/>
    <n v="0"/>
    <n v="1"/>
  </r>
  <r>
    <x v="3"/>
    <x v="0"/>
    <x v="16"/>
    <x v="16"/>
    <x v="904"/>
    <x v="0"/>
    <x v="30"/>
    <n v="8195.2900000000009"/>
    <n v="8195.2900000000009"/>
    <n v="0"/>
    <n v="1"/>
  </r>
  <r>
    <x v="3"/>
    <x v="0"/>
    <x v="16"/>
    <x v="16"/>
    <x v="905"/>
    <x v="0"/>
    <x v="221"/>
    <n v="8017.03"/>
    <n v="8017.03"/>
    <n v="0"/>
    <n v="1"/>
  </r>
  <r>
    <x v="3"/>
    <x v="0"/>
    <x v="16"/>
    <x v="16"/>
    <x v="906"/>
    <x v="0"/>
    <x v="383"/>
    <n v="3309.02"/>
    <n v="3309.02"/>
    <n v="0"/>
    <n v="1"/>
  </r>
  <r>
    <x v="3"/>
    <x v="0"/>
    <x v="16"/>
    <x v="16"/>
    <x v="907"/>
    <x v="0"/>
    <x v="294"/>
    <n v="1744.89"/>
    <n v="1744.89"/>
    <n v="0"/>
    <n v="1"/>
  </r>
  <r>
    <x v="3"/>
    <x v="0"/>
    <x v="16"/>
    <x v="16"/>
    <x v="908"/>
    <x v="0"/>
    <x v="256"/>
    <n v="1704.66"/>
    <n v="1704.66"/>
    <n v="0"/>
    <n v="1"/>
  </r>
  <r>
    <x v="3"/>
    <x v="0"/>
    <x v="16"/>
    <x v="16"/>
    <x v="909"/>
    <x v="0"/>
    <x v="114"/>
    <n v="14362.39"/>
    <n v="14362.39"/>
    <n v="0"/>
    <n v="1"/>
  </r>
  <r>
    <x v="3"/>
    <x v="0"/>
    <x v="16"/>
    <x v="16"/>
    <x v="910"/>
    <x v="0"/>
    <x v="40"/>
    <n v="2343.7800000000002"/>
    <n v="2343.7800000000002"/>
    <n v="0"/>
    <n v="1"/>
  </r>
  <r>
    <x v="3"/>
    <x v="0"/>
    <x v="16"/>
    <x v="16"/>
    <x v="911"/>
    <x v="0"/>
    <x v="94"/>
    <n v="14927.37"/>
    <n v="14927.37"/>
    <n v="0"/>
    <n v="1"/>
  </r>
  <r>
    <x v="3"/>
    <x v="0"/>
    <x v="16"/>
    <x v="16"/>
    <x v="912"/>
    <x v="0"/>
    <x v="384"/>
    <n v="1008.24"/>
    <n v="1008.24"/>
    <n v="0"/>
    <n v="1"/>
  </r>
  <r>
    <x v="3"/>
    <x v="0"/>
    <x v="17"/>
    <x v="17"/>
    <x v="913"/>
    <x v="0"/>
    <x v="121"/>
    <n v="3397.56"/>
    <n v="3397.56"/>
    <n v="0"/>
    <n v="1"/>
  </r>
  <r>
    <x v="3"/>
    <x v="0"/>
    <x v="17"/>
    <x v="17"/>
    <x v="914"/>
    <x v="0"/>
    <x v="298"/>
    <n v="912.07"/>
    <n v="912.07"/>
    <n v="0"/>
    <n v="1"/>
  </r>
  <r>
    <x v="3"/>
    <x v="0"/>
    <x v="17"/>
    <x v="17"/>
    <x v="915"/>
    <x v="0"/>
    <x v="144"/>
    <n v="1038.4000000000001"/>
    <n v="1038.4000000000001"/>
    <n v="0"/>
    <n v="1"/>
  </r>
  <r>
    <x v="3"/>
    <x v="0"/>
    <x v="17"/>
    <x v="17"/>
    <x v="916"/>
    <x v="0"/>
    <x v="358"/>
    <n v="1096.1600000000001"/>
    <n v="1096.1600000000001"/>
    <n v="0"/>
    <n v="1"/>
  </r>
  <r>
    <x v="3"/>
    <x v="0"/>
    <x v="17"/>
    <x v="17"/>
    <x v="917"/>
    <x v="0"/>
    <x v="148"/>
    <n v="5203.07"/>
    <n v="5203.07"/>
    <n v="0"/>
    <n v="1"/>
  </r>
  <r>
    <x v="3"/>
    <x v="0"/>
    <x v="17"/>
    <x v="17"/>
    <x v="918"/>
    <x v="0"/>
    <x v="191"/>
    <n v="1229.73"/>
    <n v="1229.73"/>
    <n v="0"/>
    <n v="1"/>
  </r>
  <r>
    <x v="3"/>
    <x v="0"/>
    <x v="17"/>
    <x v="17"/>
    <x v="919"/>
    <x v="0"/>
    <x v="19"/>
    <n v="2264.52"/>
    <n v="2264.52"/>
    <n v="0"/>
    <n v="1"/>
  </r>
  <r>
    <x v="3"/>
    <x v="0"/>
    <x v="17"/>
    <x v="17"/>
    <x v="920"/>
    <x v="0"/>
    <x v="221"/>
    <n v="4288.5600000000004"/>
    <n v="4288.5600000000004"/>
    <n v="0"/>
    <n v="1"/>
  </r>
  <r>
    <x v="3"/>
    <x v="0"/>
    <x v="17"/>
    <x v="17"/>
    <x v="921"/>
    <x v="0"/>
    <x v="194"/>
    <n v="2193.9299999999998"/>
    <n v="2193.9299999999998"/>
    <n v="0"/>
    <n v="1"/>
  </r>
  <r>
    <x v="3"/>
    <x v="0"/>
    <x v="17"/>
    <x v="17"/>
    <x v="922"/>
    <x v="0"/>
    <x v="15"/>
    <n v="2879.37"/>
    <n v="2879.37"/>
    <n v="0"/>
    <n v="1"/>
  </r>
  <r>
    <x v="3"/>
    <x v="0"/>
    <x v="17"/>
    <x v="17"/>
    <x v="923"/>
    <x v="0"/>
    <x v="313"/>
    <n v="8086.58"/>
    <n v="8086.58"/>
    <n v="0"/>
    <n v="1"/>
  </r>
  <r>
    <x v="3"/>
    <x v="0"/>
    <x v="17"/>
    <x v="17"/>
    <x v="924"/>
    <x v="0"/>
    <x v="76"/>
    <n v="2130.2600000000002"/>
    <n v="2130.2600000000002"/>
    <n v="0"/>
    <n v="1"/>
  </r>
  <r>
    <x v="3"/>
    <x v="0"/>
    <x v="17"/>
    <x v="17"/>
    <x v="925"/>
    <x v="0"/>
    <x v="155"/>
    <n v="15229.5"/>
    <n v="15229.5"/>
    <n v="0"/>
    <n v="1"/>
  </r>
  <r>
    <x v="3"/>
    <x v="0"/>
    <x v="17"/>
    <x v="17"/>
    <x v="926"/>
    <x v="0"/>
    <x v="141"/>
    <n v="2078.2600000000002"/>
    <n v="2078.2600000000002"/>
    <n v="0"/>
    <n v="1"/>
  </r>
  <r>
    <x v="3"/>
    <x v="0"/>
    <x v="17"/>
    <x v="17"/>
    <x v="927"/>
    <x v="0"/>
    <x v="138"/>
    <n v="1801.05"/>
    <n v="1801.05"/>
    <n v="0"/>
    <n v="1"/>
  </r>
  <r>
    <x v="3"/>
    <x v="0"/>
    <x v="17"/>
    <x v="17"/>
    <x v="928"/>
    <x v="0"/>
    <x v="203"/>
    <n v="1695.72"/>
    <n v="1695.72"/>
    <n v="0"/>
    <n v="1"/>
  </r>
  <r>
    <x v="3"/>
    <x v="0"/>
    <x v="17"/>
    <x v="17"/>
    <x v="929"/>
    <x v="0"/>
    <x v="46"/>
    <n v="1418.51"/>
    <n v="1418.51"/>
    <n v="0"/>
    <n v="1"/>
  </r>
  <r>
    <x v="3"/>
    <x v="0"/>
    <x v="17"/>
    <x v="17"/>
    <x v="930"/>
    <x v="0"/>
    <x v="187"/>
    <n v="1375.29"/>
    <n v="1375.29"/>
    <n v="0"/>
    <n v="1"/>
  </r>
  <r>
    <x v="3"/>
    <x v="0"/>
    <x v="17"/>
    <x v="17"/>
    <x v="931"/>
    <x v="0"/>
    <x v="315"/>
    <n v="3231.03"/>
    <n v="3231.03"/>
    <n v="0"/>
    <n v="1"/>
  </r>
  <r>
    <x v="3"/>
    <x v="0"/>
    <x v="17"/>
    <x v="17"/>
    <x v="932"/>
    <x v="0"/>
    <x v="206"/>
    <n v="3309.17"/>
    <n v="3309.17"/>
    <n v="0"/>
    <n v="1"/>
  </r>
  <r>
    <x v="3"/>
    <x v="0"/>
    <x v="17"/>
    <x v="17"/>
    <x v="933"/>
    <x v="0"/>
    <x v="252"/>
    <n v="1256.07"/>
    <n v="1256.07"/>
    <n v="0"/>
    <n v="1"/>
  </r>
  <r>
    <x v="3"/>
    <x v="0"/>
    <x v="17"/>
    <x v="17"/>
    <x v="934"/>
    <x v="0"/>
    <x v="47"/>
    <n v="1162.99"/>
    <n v="1162.99"/>
    <n v="0"/>
    <n v="1"/>
  </r>
  <r>
    <x v="3"/>
    <x v="0"/>
    <x v="17"/>
    <x v="17"/>
    <x v="935"/>
    <x v="0"/>
    <x v="327"/>
    <n v="2352.41"/>
    <n v="2352.41"/>
    <n v="0"/>
    <n v="1"/>
  </r>
  <r>
    <x v="3"/>
    <x v="0"/>
    <x v="17"/>
    <x v="17"/>
    <x v="936"/>
    <x v="0"/>
    <x v="80"/>
    <n v="1311.11"/>
    <n v="1311.11"/>
    <n v="0"/>
    <n v="1"/>
  </r>
  <r>
    <x v="3"/>
    <x v="0"/>
    <x v="17"/>
    <x v="17"/>
    <x v="937"/>
    <x v="0"/>
    <x v="42"/>
    <n v="853.19"/>
    <n v="853.19"/>
    <n v="0"/>
    <n v="1"/>
  </r>
  <r>
    <x v="3"/>
    <x v="0"/>
    <x v="17"/>
    <x v="17"/>
    <x v="938"/>
    <x v="0"/>
    <x v="296"/>
    <n v="2776.62"/>
    <n v="2776.62"/>
    <n v="0"/>
    <n v="1"/>
  </r>
  <r>
    <x v="3"/>
    <x v="0"/>
    <x v="17"/>
    <x v="17"/>
    <x v="939"/>
    <x v="0"/>
    <x v="123"/>
    <n v="1462.22"/>
    <n v="1462.22"/>
    <n v="0"/>
    <n v="1"/>
  </r>
  <r>
    <x v="3"/>
    <x v="0"/>
    <x v="17"/>
    <x v="17"/>
    <x v="940"/>
    <x v="0"/>
    <x v="157"/>
    <n v="3386.43"/>
    <n v="3386.43"/>
    <n v="0"/>
    <n v="1"/>
  </r>
  <r>
    <x v="3"/>
    <x v="0"/>
    <x v="17"/>
    <x v="17"/>
    <x v="941"/>
    <x v="0"/>
    <x v="385"/>
    <n v="12818.81"/>
    <n v="12818.81"/>
    <n v="0"/>
    <n v="1"/>
  </r>
  <r>
    <x v="3"/>
    <x v="0"/>
    <x v="17"/>
    <x v="17"/>
    <x v="942"/>
    <x v="0"/>
    <x v="113"/>
    <n v="4094.38"/>
    <n v="4094.38"/>
    <n v="0"/>
    <n v="1"/>
  </r>
  <r>
    <x v="3"/>
    <x v="0"/>
    <x v="17"/>
    <x v="17"/>
    <x v="943"/>
    <x v="0"/>
    <x v="221"/>
    <n v="4001.18"/>
    <n v="4001.18"/>
    <n v="0"/>
    <n v="1"/>
  </r>
  <r>
    <x v="3"/>
    <x v="0"/>
    <x v="17"/>
    <x v="17"/>
    <x v="944"/>
    <x v="0"/>
    <x v="122"/>
    <n v="6247.06"/>
    <n v="6247.06"/>
    <n v="0"/>
    <n v="1"/>
  </r>
  <r>
    <x v="3"/>
    <x v="0"/>
    <x v="17"/>
    <x v="17"/>
    <x v="945"/>
    <x v="0"/>
    <x v="175"/>
    <n v="9220.69"/>
    <n v="9220.69"/>
    <n v="0"/>
    <n v="1"/>
  </r>
  <r>
    <x v="3"/>
    <x v="0"/>
    <x v="17"/>
    <x v="17"/>
    <x v="946"/>
    <x v="0"/>
    <x v="230"/>
    <n v="1061.32"/>
    <n v="1061.32"/>
    <n v="0"/>
    <n v="1"/>
  </r>
  <r>
    <x v="3"/>
    <x v="0"/>
    <x v="17"/>
    <x v="17"/>
    <x v="947"/>
    <x v="0"/>
    <x v="240"/>
    <n v="1267.02"/>
    <n v="1267.02"/>
    <n v="0"/>
    <n v="1"/>
  </r>
  <r>
    <x v="3"/>
    <x v="0"/>
    <x v="17"/>
    <x v="17"/>
    <x v="948"/>
    <x v="6"/>
    <x v="386"/>
    <n v="-32580.79"/>
    <n v="-32580.79"/>
    <n v="0"/>
    <n v="1"/>
  </r>
  <r>
    <x v="3"/>
    <x v="0"/>
    <x v="17"/>
    <x v="17"/>
    <x v="949"/>
    <x v="0"/>
    <x v="223"/>
    <n v="159.84"/>
    <n v="159.84"/>
    <n v="0"/>
    <n v="1"/>
  </r>
  <r>
    <x v="3"/>
    <x v="0"/>
    <x v="17"/>
    <x v="17"/>
    <x v="950"/>
    <x v="0"/>
    <x v="387"/>
    <n v="1263.5"/>
    <n v="1263.5"/>
    <n v="0"/>
    <n v="1"/>
  </r>
  <r>
    <x v="3"/>
    <x v="0"/>
    <x v="17"/>
    <x v="17"/>
    <x v="951"/>
    <x v="0"/>
    <x v="363"/>
    <n v="4204.62"/>
    <n v="4204.62"/>
    <n v="0"/>
    <n v="1"/>
  </r>
  <r>
    <x v="3"/>
    <x v="0"/>
    <x v="17"/>
    <x v="17"/>
    <x v="952"/>
    <x v="0"/>
    <x v="388"/>
    <n v="327.7"/>
    <n v="327.7"/>
    <n v="0"/>
    <n v="1"/>
  </r>
  <r>
    <x v="3"/>
    <x v="0"/>
    <x v="17"/>
    <x v="17"/>
    <x v="953"/>
    <x v="0"/>
    <x v="250"/>
    <n v="2402.91"/>
    <n v="2402.91"/>
    <n v="0"/>
    <n v="1"/>
  </r>
  <r>
    <x v="3"/>
    <x v="0"/>
    <x v="17"/>
    <x v="17"/>
    <x v="954"/>
    <x v="0"/>
    <x v="88"/>
    <n v="694.23"/>
    <n v="694.23"/>
    <n v="0"/>
    <n v="1"/>
  </r>
  <r>
    <x v="3"/>
    <x v="0"/>
    <x v="17"/>
    <x v="17"/>
    <x v="955"/>
    <x v="0"/>
    <x v="328"/>
    <n v="808.26"/>
    <n v="808.26"/>
    <n v="0"/>
    <n v="1"/>
  </r>
  <r>
    <x v="3"/>
    <x v="0"/>
    <x v="17"/>
    <x v="17"/>
    <x v="956"/>
    <x v="0"/>
    <x v="281"/>
    <n v="825.31"/>
    <n v="825.31"/>
    <n v="0"/>
    <n v="1"/>
  </r>
  <r>
    <x v="3"/>
    <x v="0"/>
    <x v="1"/>
    <x v="1"/>
    <x v="957"/>
    <x v="0"/>
    <x v="372"/>
    <n v="1726.53"/>
    <n v="1726.53"/>
    <n v="0"/>
    <n v="1"/>
  </r>
  <r>
    <x v="3"/>
    <x v="0"/>
    <x v="1"/>
    <x v="1"/>
    <x v="958"/>
    <x v="0"/>
    <x v="24"/>
    <n v="897.28"/>
    <n v="897.28"/>
    <n v="0"/>
    <n v="1"/>
  </r>
  <r>
    <x v="3"/>
    <x v="0"/>
    <x v="1"/>
    <x v="1"/>
    <x v="959"/>
    <x v="0"/>
    <x v="187"/>
    <n v="916.19"/>
    <n v="916.19"/>
    <n v="0"/>
    <n v="1"/>
  </r>
  <r>
    <x v="3"/>
    <x v="0"/>
    <x v="1"/>
    <x v="1"/>
    <x v="960"/>
    <x v="0"/>
    <x v="196"/>
    <n v="8289.33"/>
    <n v="8289.33"/>
    <n v="0"/>
    <n v="1"/>
  </r>
  <r>
    <x v="3"/>
    <x v="0"/>
    <x v="1"/>
    <x v="1"/>
    <x v="961"/>
    <x v="0"/>
    <x v="73"/>
    <n v="1064.79"/>
    <n v="1064.79"/>
    <n v="0"/>
    <n v="1"/>
  </r>
  <r>
    <x v="3"/>
    <x v="0"/>
    <x v="1"/>
    <x v="1"/>
    <x v="962"/>
    <x v="0"/>
    <x v="29"/>
    <n v="1776.01"/>
    <n v="1776.01"/>
    <n v="0"/>
    <n v="1"/>
  </r>
  <r>
    <x v="3"/>
    <x v="0"/>
    <x v="1"/>
    <x v="1"/>
    <x v="963"/>
    <x v="0"/>
    <x v="23"/>
    <n v="1197.54"/>
    <n v="1197.54"/>
    <n v="0"/>
    <n v="1"/>
  </r>
  <r>
    <x v="3"/>
    <x v="0"/>
    <x v="1"/>
    <x v="1"/>
    <x v="964"/>
    <x v="0"/>
    <x v="195"/>
    <n v="962.34"/>
    <n v="962.34"/>
    <n v="0"/>
    <n v="1"/>
  </r>
  <r>
    <x v="3"/>
    <x v="0"/>
    <x v="1"/>
    <x v="1"/>
    <x v="965"/>
    <x v="0"/>
    <x v="284"/>
    <n v="1455.24"/>
    <n v="1455.24"/>
    <n v="0"/>
    <n v="1"/>
  </r>
  <r>
    <x v="3"/>
    <x v="0"/>
    <x v="1"/>
    <x v="1"/>
    <x v="966"/>
    <x v="0"/>
    <x v="96"/>
    <n v="4947.57"/>
    <n v="4947.57"/>
    <n v="0"/>
    <n v="1"/>
  </r>
  <r>
    <x v="3"/>
    <x v="0"/>
    <x v="1"/>
    <x v="1"/>
    <x v="967"/>
    <x v="0"/>
    <x v="74"/>
    <n v="847.28"/>
    <n v="847.28"/>
    <n v="0"/>
    <n v="1"/>
  </r>
  <r>
    <x v="3"/>
    <x v="0"/>
    <x v="1"/>
    <x v="1"/>
    <x v="968"/>
    <x v="0"/>
    <x v="16"/>
    <n v="765.72"/>
    <n v="765.72"/>
    <n v="0"/>
    <n v="1"/>
  </r>
  <r>
    <x v="3"/>
    <x v="0"/>
    <x v="1"/>
    <x v="1"/>
    <x v="969"/>
    <x v="0"/>
    <x v="292"/>
    <n v="540.78"/>
    <n v="540.78"/>
    <n v="0"/>
    <n v="1"/>
  </r>
  <r>
    <x v="3"/>
    <x v="0"/>
    <x v="1"/>
    <x v="1"/>
    <x v="970"/>
    <x v="0"/>
    <x v="389"/>
    <n v="1789.86"/>
    <n v="1789.86"/>
    <n v="0"/>
    <n v="1"/>
  </r>
  <r>
    <x v="3"/>
    <x v="0"/>
    <x v="1"/>
    <x v="1"/>
    <x v="971"/>
    <x v="0"/>
    <x v="316"/>
    <n v="364.06"/>
    <n v="364.06"/>
    <n v="0"/>
    <n v="1"/>
  </r>
  <r>
    <x v="3"/>
    <x v="0"/>
    <x v="1"/>
    <x v="1"/>
    <x v="972"/>
    <x v="6"/>
    <x v="390"/>
    <n v="-18630.3"/>
    <n v="-18630.3"/>
    <n v="0"/>
    <n v="1"/>
  </r>
  <r>
    <x v="3"/>
    <x v="0"/>
    <x v="1"/>
    <x v="1"/>
    <x v="973"/>
    <x v="0"/>
    <x v="92"/>
    <n v="8108.46"/>
    <n v="8108.46"/>
    <n v="0"/>
    <n v="1"/>
  </r>
  <r>
    <x v="3"/>
    <x v="0"/>
    <x v="1"/>
    <x v="1"/>
    <x v="974"/>
    <x v="0"/>
    <x v="108"/>
    <n v="12722.55"/>
    <n v="12722.55"/>
    <n v="0"/>
    <n v="1"/>
  </r>
  <r>
    <x v="3"/>
    <x v="0"/>
    <x v="1"/>
    <x v="1"/>
    <x v="975"/>
    <x v="0"/>
    <x v="101"/>
    <n v="3664.71"/>
    <n v="3664.71"/>
    <n v="0"/>
    <n v="1"/>
  </r>
  <r>
    <x v="3"/>
    <x v="0"/>
    <x v="1"/>
    <x v="1"/>
    <x v="976"/>
    <x v="6"/>
    <x v="391"/>
    <n v="-38650.18"/>
    <n v="-38650.18"/>
    <n v="0"/>
    <n v="1"/>
  </r>
  <r>
    <x v="3"/>
    <x v="0"/>
    <x v="1"/>
    <x v="1"/>
    <x v="977"/>
    <x v="0"/>
    <x v="33"/>
    <n v="936.53"/>
    <n v="936.53"/>
    <n v="0"/>
    <n v="1"/>
  </r>
  <r>
    <x v="3"/>
    <x v="0"/>
    <x v="1"/>
    <x v="1"/>
    <x v="978"/>
    <x v="6"/>
    <x v="392"/>
    <n v="-48050.19"/>
    <n v="-48050.19"/>
    <n v="0"/>
    <n v="1"/>
  </r>
  <r>
    <x v="3"/>
    <x v="0"/>
    <x v="1"/>
    <x v="1"/>
    <x v="979"/>
    <x v="0"/>
    <x v="128"/>
    <n v="2324.21"/>
    <n v="2324.21"/>
    <n v="0"/>
    <n v="1"/>
  </r>
  <r>
    <x v="3"/>
    <x v="0"/>
    <x v="1"/>
    <x v="1"/>
    <x v="980"/>
    <x v="0"/>
    <x v="149"/>
    <n v="6652.05"/>
    <n v="6652.05"/>
    <n v="0"/>
    <n v="1"/>
  </r>
  <r>
    <x v="3"/>
    <x v="0"/>
    <x v="1"/>
    <x v="1"/>
    <x v="981"/>
    <x v="0"/>
    <x v="334"/>
    <n v="1796.76"/>
    <n v="1796.76"/>
    <n v="0"/>
    <n v="1"/>
  </r>
  <r>
    <x v="3"/>
    <x v="0"/>
    <x v="1"/>
    <x v="1"/>
    <x v="982"/>
    <x v="0"/>
    <x v="135"/>
    <n v="1952.14"/>
    <n v="1952.14"/>
    <n v="0"/>
    <n v="1"/>
  </r>
  <r>
    <x v="3"/>
    <x v="0"/>
    <x v="1"/>
    <x v="1"/>
    <x v="983"/>
    <x v="0"/>
    <x v="148"/>
    <n v="3027.47"/>
    <n v="3027.47"/>
    <n v="0"/>
    <n v="1"/>
  </r>
  <r>
    <x v="3"/>
    <x v="0"/>
    <x v="1"/>
    <x v="1"/>
    <x v="984"/>
    <x v="0"/>
    <x v="393"/>
    <n v="2257.13"/>
    <n v="2257.13"/>
    <n v="0"/>
    <n v="1"/>
  </r>
  <r>
    <x v="3"/>
    <x v="0"/>
    <x v="1"/>
    <x v="1"/>
    <x v="985"/>
    <x v="0"/>
    <x v="335"/>
    <n v="1595.75"/>
    <n v="1595.75"/>
    <n v="0"/>
    <n v="1"/>
  </r>
  <r>
    <x v="3"/>
    <x v="0"/>
    <x v="1"/>
    <x v="1"/>
    <x v="986"/>
    <x v="0"/>
    <x v="108"/>
    <n v="6537.62"/>
    <n v="6537.62"/>
    <n v="0"/>
    <n v="1"/>
  </r>
  <r>
    <x v="3"/>
    <x v="0"/>
    <x v="1"/>
    <x v="1"/>
    <x v="987"/>
    <x v="0"/>
    <x v="22"/>
    <n v="2365.5500000000002"/>
    <n v="2365.5500000000002"/>
    <n v="0"/>
    <n v="1"/>
  </r>
  <r>
    <x v="3"/>
    <x v="0"/>
    <x v="1"/>
    <x v="1"/>
    <x v="988"/>
    <x v="0"/>
    <x v="153"/>
    <n v="3162.89"/>
    <n v="3162.89"/>
    <n v="0"/>
    <n v="1"/>
  </r>
  <r>
    <x v="3"/>
    <x v="0"/>
    <x v="1"/>
    <x v="1"/>
    <x v="989"/>
    <x v="0"/>
    <x v="371"/>
    <n v="2565.46"/>
    <n v="2565.46"/>
    <n v="0"/>
    <n v="1"/>
  </r>
  <r>
    <x v="3"/>
    <x v="0"/>
    <x v="1"/>
    <x v="1"/>
    <x v="990"/>
    <x v="0"/>
    <x v="12"/>
    <n v="3474.89"/>
    <n v="3474.89"/>
    <n v="0"/>
    <n v="1"/>
  </r>
  <r>
    <x v="3"/>
    <x v="0"/>
    <x v="1"/>
    <x v="1"/>
    <x v="991"/>
    <x v="0"/>
    <x v="99"/>
    <n v="4692.99"/>
    <n v="4692.99"/>
    <n v="0"/>
    <n v="1"/>
  </r>
  <r>
    <x v="3"/>
    <x v="0"/>
    <x v="1"/>
    <x v="1"/>
    <x v="992"/>
    <x v="0"/>
    <x v="158"/>
    <n v="2695.38"/>
    <n v="2695.38"/>
    <n v="0"/>
    <n v="1"/>
  </r>
  <r>
    <x v="3"/>
    <x v="0"/>
    <x v="1"/>
    <x v="1"/>
    <x v="993"/>
    <x v="0"/>
    <x v="247"/>
    <n v="4410.12"/>
    <n v="4410.12"/>
    <n v="0"/>
    <n v="1"/>
  </r>
  <r>
    <x v="3"/>
    <x v="0"/>
    <x v="1"/>
    <x v="1"/>
    <x v="994"/>
    <x v="0"/>
    <x v="37"/>
    <n v="6000.74"/>
    <n v="6000.74"/>
    <n v="0"/>
    <n v="1"/>
  </r>
  <r>
    <x v="3"/>
    <x v="2"/>
    <x v="18"/>
    <x v="18"/>
    <x v="995"/>
    <x v="5"/>
    <x v="41"/>
    <n v="3334.78"/>
    <n v="3334.78"/>
    <n v="0"/>
    <n v="1"/>
  </r>
  <r>
    <x v="3"/>
    <x v="0"/>
    <x v="18"/>
    <x v="18"/>
    <x v="996"/>
    <x v="0"/>
    <x v="22"/>
    <n v="2010.58"/>
    <n v="2010.58"/>
    <n v="0"/>
    <n v="1"/>
  </r>
  <r>
    <x v="3"/>
    <x v="0"/>
    <x v="18"/>
    <x v="18"/>
    <x v="997"/>
    <x v="0"/>
    <x v="248"/>
    <n v="1870.27"/>
    <n v="1870.27"/>
    <n v="0"/>
    <n v="1"/>
  </r>
  <r>
    <x v="3"/>
    <x v="0"/>
    <x v="18"/>
    <x v="18"/>
    <x v="998"/>
    <x v="0"/>
    <x v="165"/>
    <n v="1805.36"/>
    <n v="1805.36"/>
    <n v="0"/>
    <n v="1"/>
  </r>
  <r>
    <x v="3"/>
    <x v="0"/>
    <x v="18"/>
    <x v="18"/>
    <x v="999"/>
    <x v="0"/>
    <x v="299"/>
    <n v="1623.28"/>
    <n v="1623.28"/>
    <n v="0"/>
    <n v="1"/>
  </r>
  <r>
    <x v="3"/>
    <x v="0"/>
    <x v="18"/>
    <x v="18"/>
    <x v="1000"/>
    <x v="0"/>
    <x v="275"/>
    <n v="1697.36"/>
    <n v="1697.36"/>
    <n v="0"/>
    <n v="1"/>
  </r>
  <r>
    <x v="3"/>
    <x v="0"/>
    <x v="18"/>
    <x v="18"/>
    <x v="1001"/>
    <x v="0"/>
    <x v="393"/>
    <n v="2345.77"/>
    <n v="2345.77"/>
    <n v="0"/>
    <n v="1"/>
  </r>
  <r>
    <x v="3"/>
    <x v="0"/>
    <x v="18"/>
    <x v="18"/>
    <x v="1002"/>
    <x v="0"/>
    <x v="107"/>
    <n v="18061.8"/>
    <n v="18061.8"/>
    <n v="0"/>
    <n v="1"/>
  </r>
  <r>
    <x v="3"/>
    <x v="0"/>
    <x v="18"/>
    <x v="18"/>
    <x v="1003"/>
    <x v="0"/>
    <x v="141"/>
    <n v="2427.73"/>
    <n v="2427.73"/>
    <n v="0"/>
    <n v="1"/>
  </r>
  <r>
    <x v="3"/>
    <x v="0"/>
    <x v="18"/>
    <x v="18"/>
    <x v="1004"/>
    <x v="0"/>
    <x v="276"/>
    <n v="1695.78"/>
    <n v="1695.78"/>
    <n v="0"/>
    <n v="1"/>
  </r>
  <r>
    <x v="3"/>
    <x v="0"/>
    <x v="18"/>
    <x v="18"/>
    <x v="1005"/>
    <x v="0"/>
    <x v="81"/>
    <n v="870.26"/>
    <n v="870.26"/>
    <n v="0"/>
    <n v="1"/>
  </r>
  <r>
    <x v="3"/>
    <x v="0"/>
    <x v="18"/>
    <x v="18"/>
    <x v="1006"/>
    <x v="0"/>
    <x v="35"/>
    <n v="1614.51"/>
    <n v="1614.51"/>
    <n v="0"/>
    <n v="1"/>
  </r>
  <r>
    <x v="3"/>
    <x v="0"/>
    <x v="18"/>
    <x v="18"/>
    <x v="1007"/>
    <x v="0"/>
    <x v="34"/>
    <n v="1038.7"/>
    <n v="1038.7"/>
    <n v="0"/>
    <n v="1"/>
  </r>
  <r>
    <x v="3"/>
    <x v="0"/>
    <x v="18"/>
    <x v="18"/>
    <x v="1008"/>
    <x v="0"/>
    <x v="19"/>
    <n v="2050.15"/>
    <n v="2050.15"/>
    <n v="0"/>
    <n v="1"/>
  </r>
  <r>
    <x v="3"/>
    <x v="0"/>
    <x v="18"/>
    <x v="18"/>
    <x v="1009"/>
    <x v="0"/>
    <x v="100"/>
    <n v="1495.24"/>
    <n v="1495.24"/>
    <n v="0"/>
    <n v="1"/>
  </r>
  <r>
    <x v="3"/>
    <x v="0"/>
    <x v="18"/>
    <x v="18"/>
    <x v="1010"/>
    <x v="0"/>
    <x v="146"/>
    <n v="2169.58"/>
    <n v="2169.58"/>
    <n v="0"/>
    <n v="1"/>
  </r>
  <r>
    <x v="3"/>
    <x v="0"/>
    <x v="18"/>
    <x v="18"/>
    <x v="1011"/>
    <x v="0"/>
    <x v="276"/>
    <n v="2784.92"/>
    <n v="2784.92"/>
    <n v="0"/>
    <n v="1"/>
  </r>
  <r>
    <x v="3"/>
    <x v="0"/>
    <x v="18"/>
    <x v="18"/>
    <x v="1012"/>
    <x v="0"/>
    <x v="288"/>
    <n v="1451.72"/>
    <n v="1451.72"/>
    <n v="0"/>
    <n v="1"/>
  </r>
  <r>
    <x v="3"/>
    <x v="0"/>
    <x v="18"/>
    <x v="18"/>
    <x v="1013"/>
    <x v="0"/>
    <x v="364"/>
    <n v="271.87"/>
    <n v="271.87"/>
    <n v="0"/>
    <n v="1"/>
  </r>
  <r>
    <x v="3"/>
    <x v="0"/>
    <x v="18"/>
    <x v="18"/>
    <x v="1014"/>
    <x v="0"/>
    <x v="110"/>
    <n v="6503.44"/>
    <n v="6503.44"/>
    <n v="0"/>
    <n v="1"/>
  </r>
  <r>
    <x v="3"/>
    <x v="0"/>
    <x v="18"/>
    <x v="18"/>
    <x v="1015"/>
    <x v="0"/>
    <x v="32"/>
    <n v="2195.94"/>
    <n v="2195.94"/>
    <n v="0"/>
    <n v="1"/>
  </r>
  <r>
    <x v="3"/>
    <x v="0"/>
    <x v="18"/>
    <x v="18"/>
    <x v="1016"/>
    <x v="0"/>
    <x v="280"/>
    <n v="2280.6"/>
    <n v="2280.6"/>
    <n v="0"/>
    <n v="1"/>
  </r>
  <r>
    <x v="3"/>
    <x v="0"/>
    <x v="18"/>
    <x v="18"/>
    <x v="1017"/>
    <x v="0"/>
    <x v="89"/>
    <n v="9996.15"/>
    <n v="9996.15"/>
    <n v="0"/>
    <n v="1"/>
  </r>
  <r>
    <x v="3"/>
    <x v="0"/>
    <x v="18"/>
    <x v="18"/>
    <x v="1018"/>
    <x v="0"/>
    <x v="393"/>
    <n v="1545.92"/>
    <n v="1545.92"/>
    <n v="0"/>
    <n v="1"/>
  </r>
  <r>
    <x v="3"/>
    <x v="0"/>
    <x v="18"/>
    <x v="18"/>
    <x v="1019"/>
    <x v="0"/>
    <x v="84"/>
    <n v="2316.79"/>
    <n v="2316.79"/>
    <n v="0"/>
    <n v="1"/>
  </r>
  <r>
    <x v="3"/>
    <x v="0"/>
    <x v="18"/>
    <x v="18"/>
    <x v="1020"/>
    <x v="0"/>
    <x v="293"/>
    <n v="2333.98"/>
    <n v="2333.98"/>
    <n v="0"/>
    <n v="1"/>
  </r>
  <r>
    <x v="3"/>
    <x v="0"/>
    <x v="18"/>
    <x v="18"/>
    <x v="1021"/>
    <x v="0"/>
    <x v="47"/>
    <n v="1608.62"/>
    <n v="1608.62"/>
    <n v="0"/>
    <n v="1"/>
  </r>
  <r>
    <x v="3"/>
    <x v="0"/>
    <x v="18"/>
    <x v="18"/>
    <x v="1022"/>
    <x v="0"/>
    <x v="152"/>
    <n v="2149.48"/>
    <n v="2149.48"/>
    <n v="0"/>
    <n v="1"/>
  </r>
  <r>
    <x v="3"/>
    <x v="0"/>
    <x v="18"/>
    <x v="18"/>
    <x v="1023"/>
    <x v="0"/>
    <x v="247"/>
    <n v="2143.2399999999998"/>
    <n v="2143.2399999999998"/>
    <n v="0"/>
    <n v="1"/>
  </r>
  <r>
    <x v="3"/>
    <x v="0"/>
    <x v="18"/>
    <x v="18"/>
    <x v="1024"/>
    <x v="0"/>
    <x v="290"/>
    <n v="2334.34"/>
    <n v="2334.34"/>
    <n v="0"/>
    <n v="1"/>
  </r>
  <r>
    <x v="3"/>
    <x v="0"/>
    <x v="18"/>
    <x v="18"/>
    <x v="1025"/>
    <x v="0"/>
    <x v="327"/>
    <n v="1366.11"/>
    <n v="1366.11"/>
    <n v="0"/>
    <n v="1"/>
  </r>
  <r>
    <x v="3"/>
    <x v="0"/>
    <x v="18"/>
    <x v="18"/>
    <x v="1026"/>
    <x v="0"/>
    <x v="366"/>
    <n v="1045.68"/>
    <n v="1045.68"/>
    <n v="0"/>
    <n v="1"/>
  </r>
  <r>
    <x v="3"/>
    <x v="0"/>
    <x v="18"/>
    <x v="18"/>
    <x v="1027"/>
    <x v="0"/>
    <x v="371"/>
    <n v="7609.19"/>
    <n v="7609.19"/>
    <n v="0"/>
    <n v="1"/>
  </r>
  <r>
    <x v="3"/>
    <x v="0"/>
    <x v="18"/>
    <x v="18"/>
    <x v="1028"/>
    <x v="0"/>
    <x v="10"/>
    <n v="3134.44"/>
    <n v="3134.44"/>
    <n v="0"/>
    <n v="1"/>
  </r>
  <r>
    <x v="3"/>
    <x v="0"/>
    <x v="18"/>
    <x v="18"/>
    <x v="1029"/>
    <x v="6"/>
    <x v="394"/>
    <n v="-496927.66"/>
    <n v="-496927.66"/>
    <n v="0"/>
    <n v="1"/>
  </r>
  <r>
    <x v="3"/>
    <x v="0"/>
    <x v="18"/>
    <x v="18"/>
    <x v="1030"/>
    <x v="0"/>
    <x v="110"/>
    <n v="2363.66"/>
    <n v="2363.66"/>
    <n v="0"/>
    <n v="1"/>
  </r>
  <r>
    <x v="3"/>
    <x v="0"/>
    <x v="18"/>
    <x v="18"/>
    <x v="1031"/>
    <x v="6"/>
    <x v="395"/>
    <n v="-389888.06"/>
    <n v="-389888.06"/>
    <n v="0"/>
    <n v="1"/>
  </r>
  <r>
    <x v="3"/>
    <x v="0"/>
    <x v="18"/>
    <x v="18"/>
    <x v="1032"/>
    <x v="6"/>
    <x v="396"/>
    <n v="-228590.1"/>
    <n v="-228590.1"/>
    <n v="0"/>
    <n v="1"/>
  </r>
  <r>
    <x v="3"/>
    <x v="0"/>
    <x v="18"/>
    <x v="18"/>
    <x v="1033"/>
    <x v="0"/>
    <x v="182"/>
    <n v="664.63"/>
    <n v="664.63"/>
    <n v="0"/>
    <n v="1"/>
  </r>
  <r>
    <x v="3"/>
    <x v="0"/>
    <x v="18"/>
    <x v="18"/>
    <x v="1034"/>
    <x v="6"/>
    <x v="397"/>
    <n v="-102887.88"/>
    <n v="-102887.88"/>
    <n v="0"/>
    <n v="1"/>
  </r>
  <r>
    <x v="3"/>
    <x v="0"/>
    <x v="18"/>
    <x v="18"/>
    <x v="1035"/>
    <x v="0"/>
    <x v="183"/>
    <n v="1684.71"/>
    <n v="1684.71"/>
    <n v="0"/>
    <n v="1"/>
  </r>
  <r>
    <x v="3"/>
    <x v="0"/>
    <x v="18"/>
    <x v="18"/>
    <x v="1036"/>
    <x v="0"/>
    <x v="101"/>
    <n v="12303.39"/>
    <n v="12303.39"/>
    <n v="0"/>
    <n v="1"/>
  </r>
  <r>
    <x v="3"/>
    <x v="0"/>
    <x v="18"/>
    <x v="18"/>
    <x v="1037"/>
    <x v="0"/>
    <x v="108"/>
    <n v="6907"/>
    <n v="6907"/>
    <n v="0"/>
    <n v="1"/>
  </r>
  <r>
    <x v="3"/>
    <x v="0"/>
    <x v="18"/>
    <x v="18"/>
    <x v="1038"/>
    <x v="0"/>
    <x v="398"/>
    <n v="5020.54"/>
    <n v="5020.54"/>
    <n v="0"/>
    <n v="1"/>
  </r>
  <r>
    <x v="3"/>
    <x v="0"/>
    <x v="18"/>
    <x v="18"/>
    <x v="1039"/>
    <x v="0"/>
    <x v="112"/>
    <n v="5692.47"/>
    <n v="5692.47"/>
    <n v="0"/>
    <n v="1"/>
  </r>
  <r>
    <x v="3"/>
    <x v="0"/>
    <x v="18"/>
    <x v="18"/>
    <x v="1040"/>
    <x v="0"/>
    <x v="399"/>
    <n v="2359.7600000000002"/>
    <n v="2359.7600000000002"/>
    <n v="0"/>
    <n v="1"/>
  </r>
  <r>
    <x v="3"/>
    <x v="0"/>
    <x v="18"/>
    <x v="18"/>
    <x v="1041"/>
    <x v="0"/>
    <x v="97"/>
    <n v="11999.46"/>
    <n v="11999.46"/>
    <n v="0"/>
    <n v="1"/>
  </r>
  <r>
    <x v="3"/>
    <x v="0"/>
    <x v="18"/>
    <x v="18"/>
    <x v="1042"/>
    <x v="0"/>
    <x v="98"/>
    <n v="4129.09"/>
    <n v="4129.09"/>
    <n v="0"/>
    <n v="1"/>
  </r>
  <r>
    <x v="3"/>
    <x v="0"/>
    <x v="18"/>
    <x v="18"/>
    <x v="1043"/>
    <x v="0"/>
    <x v="94"/>
    <n v="13683.1"/>
    <n v="13683.1"/>
    <n v="0"/>
    <n v="1"/>
  </r>
  <r>
    <x v="3"/>
    <x v="0"/>
    <x v="18"/>
    <x v="18"/>
    <x v="1044"/>
    <x v="6"/>
    <x v="400"/>
    <n v="-32463.97"/>
    <n v="-32463.97"/>
    <n v="0"/>
    <n v="1"/>
  </r>
  <r>
    <x v="3"/>
    <x v="0"/>
    <x v="18"/>
    <x v="18"/>
    <x v="1045"/>
    <x v="0"/>
    <x v="181"/>
    <n v="1445.49"/>
    <n v="1445.49"/>
    <n v="0"/>
    <n v="1"/>
  </r>
  <r>
    <x v="3"/>
    <x v="0"/>
    <x v="18"/>
    <x v="18"/>
    <x v="1046"/>
    <x v="0"/>
    <x v="33"/>
    <n v="595.21"/>
    <n v="595.21"/>
    <n v="0"/>
    <n v="1"/>
  </r>
  <r>
    <x v="3"/>
    <x v="0"/>
    <x v="18"/>
    <x v="18"/>
    <x v="1047"/>
    <x v="0"/>
    <x v="190"/>
    <n v="2479.79"/>
    <n v="2479.79"/>
    <n v="0"/>
    <n v="1"/>
  </r>
  <r>
    <x v="3"/>
    <x v="0"/>
    <x v="18"/>
    <x v="18"/>
    <x v="1048"/>
    <x v="0"/>
    <x v="401"/>
    <n v="2798.22"/>
    <n v="2798.22"/>
    <n v="0"/>
    <n v="1"/>
  </r>
  <r>
    <x v="3"/>
    <x v="0"/>
    <x v="18"/>
    <x v="18"/>
    <x v="1049"/>
    <x v="6"/>
    <x v="402"/>
    <n v="-29252.93"/>
    <n v="-29252.93"/>
    <n v="0"/>
    <n v="1"/>
  </r>
  <r>
    <x v="3"/>
    <x v="0"/>
    <x v="18"/>
    <x v="18"/>
    <x v="1050"/>
    <x v="0"/>
    <x v="368"/>
    <n v="1478.11"/>
    <n v="1478.11"/>
    <n v="0"/>
    <n v="1"/>
  </r>
  <r>
    <x v="3"/>
    <x v="0"/>
    <x v="18"/>
    <x v="18"/>
    <x v="1051"/>
    <x v="0"/>
    <x v="104"/>
    <n v="8295.5499999999993"/>
    <n v="8295.5499999999993"/>
    <n v="0"/>
    <n v="1"/>
  </r>
  <r>
    <x v="3"/>
    <x v="0"/>
    <x v="18"/>
    <x v="18"/>
    <x v="1052"/>
    <x v="6"/>
    <x v="403"/>
    <n v="-28199.8"/>
    <n v="-28199.8"/>
    <n v="0"/>
    <n v="1"/>
  </r>
  <r>
    <x v="3"/>
    <x v="0"/>
    <x v="18"/>
    <x v="18"/>
    <x v="1053"/>
    <x v="0"/>
    <x v="92"/>
    <n v="9410.6200000000008"/>
    <n v="9410.6200000000008"/>
    <n v="0"/>
    <n v="1"/>
  </r>
  <r>
    <x v="3"/>
    <x v="0"/>
    <x v="18"/>
    <x v="18"/>
    <x v="1054"/>
    <x v="0"/>
    <x v="199"/>
    <n v="1247.01"/>
    <n v="1247.01"/>
    <n v="0"/>
    <n v="1"/>
  </r>
  <r>
    <x v="3"/>
    <x v="0"/>
    <x v="18"/>
    <x v="18"/>
    <x v="1055"/>
    <x v="0"/>
    <x v="90"/>
    <n v="10072.67"/>
    <n v="10072.67"/>
    <n v="0"/>
    <n v="1"/>
  </r>
  <r>
    <x v="3"/>
    <x v="0"/>
    <x v="18"/>
    <x v="18"/>
    <x v="1056"/>
    <x v="0"/>
    <x v="123"/>
    <n v="3755.77"/>
    <n v="3755.77"/>
    <n v="0"/>
    <n v="1"/>
  </r>
  <r>
    <x v="3"/>
    <x v="0"/>
    <x v="18"/>
    <x v="18"/>
    <x v="1057"/>
    <x v="0"/>
    <x v="89"/>
    <n v="9720.26"/>
    <n v="9720.26"/>
    <n v="0"/>
    <n v="1"/>
  </r>
  <r>
    <x v="3"/>
    <x v="0"/>
    <x v="18"/>
    <x v="18"/>
    <x v="1058"/>
    <x v="0"/>
    <x v="173"/>
    <n v="6998.26"/>
    <n v="6998.26"/>
    <n v="0"/>
    <n v="1"/>
  </r>
  <r>
    <x v="3"/>
    <x v="0"/>
    <x v="18"/>
    <x v="18"/>
    <x v="1059"/>
    <x v="0"/>
    <x v="70"/>
    <n v="917.6"/>
    <n v="917.6"/>
    <n v="0"/>
    <n v="1"/>
  </r>
  <r>
    <x v="3"/>
    <x v="0"/>
    <x v="18"/>
    <x v="18"/>
    <x v="1060"/>
    <x v="0"/>
    <x v="106"/>
    <n v="22536.11"/>
    <n v="22536.11"/>
    <n v="0"/>
    <n v="1"/>
  </r>
  <r>
    <x v="3"/>
    <x v="0"/>
    <x v="18"/>
    <x v="18"/>
    <x v="1061"/>
    <x v="0"/>
    <x v="99"/>
    <n v="9129.07"/>
    <n v="9129.07"/>
    <n v="0"/>
    <n v="1"/>
  </r>
  <r>
    <x v="3"/>
    <x v="0"/>
    <x v="18"/>
    <x v="18"/>
    <x v="1062"/>
    <x v="0"/>
    <x v="12"/>
    <n v="2912.56"/>
    <n v="2912.56"/>
    <n v="0"/>
    <n v="1"/>
  </r>
  <r>
    <x v="3"/>
    <x v="0"/>
    <x v="18"/>
    <x v="18"/>
    <x v="1063"/>
    <x v="0"/>
    <x v="89"/>
    <n v="11495.49"/>
    <n v="11495.49"/>
    <n v="0"/>
    <n v="1"/>
  </r>
  <r>
    <x v="3"/>
    <x v="0"/>
    <x v="18"/>
    <x v="18"/>
    <x v="1064"/>
    <x v="0"/>
    <x v="40"/>
    <n v="2550.63"/>
    <n v="2550.63"/>
    <n v="0"/>
    <n v="1"/>
  </r>
  <r>
    <x v="3"/>
    <x v="0"/>
    <x v="18"/>
    <x v="18"/>
    <x v="1065"/>
    <x v="0"/>
    <x v="295"/>
    <n v="7272.39"/>
    <n v="7272.39"/>
    <n v="0"/>
    <n v="1"/>
  </r>
  <r>
    <x v="3"/>
    <x v="0"/>
    <x v="18"/>
    <x v="18"/>
    <x v="1066"/>
    <x v="0"/>
    <x v="30"/>
    <n v="5316.73"/>
    <n v="5316.73"/>
    <n v="0"/>
    <n v="1"/>
  </r>
  <r>
    <x v="3"/>
    <x v="0"/>
    <x v="18"/>
    <x v="18"/>
    <x v="1067"/>
    <x v="0"/>
    <x v="99"/>
    <n v="6826.58"/>
    <n v="6826.58"/>
    <n v="0"/>
    <n v="1"/>
  </r>
  <r>
    <x v="3"/>
    <x v="0"/>
    <x v="18"/>
    <x v="18"/>
    <x v="1068"/>
    <x v="0"/>
    <x v="364"/>
    <n v="2277.29"/>
    <n v="2277.29"/>
    <n v="0"/>
    <n v="1"/>
  </r>
  <r>
    <x v="3"/>
    <x v="0"/>
    <x v="18"/>
    <x v="18"/>
    <x v="1069"/>
    <x v="0"/>
    <x v="385"/>
    <n v="2156.9899999999998"/>
    <n v="2156.9899999999998"/>
    <n v="0"/>
    <n v="1"/>
  </r>
  <r>
    <x v="3"/>
    <x v="0"/>
    <x v="18"/>
    <x v="18"/>
    <x v="1070"/>
    <x v="0"/>
    <x v="37"/>
    <n v="5395.3"/>
    <n v="5395.3"/>
    <n v="0"/>
    <n v="1"/>
  </r>
  <r>
    <x v="3"/>
    <x v="0"/>
    <x v="18"/>
    <x v="18"/>
    <x v="1071"/>
    <x v="0"/>
    <x v="294"/>
    <n v="5603.95"/>
    <n v="5603.95"/>
    <n v="0"/>
    <n v="1"/>
  </r>
  <r>
    <x v="3"/>
    <x v="0"/>
    <x v="18"/>
    <x v="18"/>
    <x v="1072"/>
    <x v="0"/>
    <x v="122"/>
    <n v="3978.11"/>
    <n v="3978.11"/>
    <n v="0"/>
    <n v="1"/>
  </r>
  <r>
    <x v="3"/>
    <x v="0"/>
    <x v="18"/>
    <x v="18"/>
    <x v="1073"/>
    <x v="0"/>
    <x v="101"/>
    <n v="6015.22"/>
    <n v="6015.22"/>
    <n v="0"/>
    <n v="1"/>
  </r>
  <r>
    <x v="3"/>
    <x v="0"/>
    <x v="18"/>
    <x v="18"/>
    <x v="1074"/>
    <x v="0"/>
    <x v="120"/>
    <n v="16717.509999999998"/>
    <n v="16717.509999999998"/>
    <n v="0"/>
    <n v="1"/>
  </r>
  <r>
    <x v="3"/>
    <x v="0"/>
    <x v="18"/>
    <x v="18"/>
    <x v="1075"/>
    <x v="0"/>
    <x v="123"/>
    <n v="8952.2999999999993"/>
    <n v="8952.2999999999993"/>
    <n v="0"/>
    <n v="1"/>
  </r>
  <r>
    <x v="3"/>
    <x v="0"/>
    <x v="18"/>
    <x v="18"/>
    <x v="1076"/>
    <x v="0"/>
    <x v="45"/>
    <n v="5917.3"/>
    <n v="5917.3"/>
    <n v="0"/>
    <n v="1"/>
  </r>
  <r>
    <x v="3"/>
    <x v="0"/>
    <x v="18"/>
    <x v="18"/>
    <x v="1077"/>
    <x v="0"/>
    <x v="176"/>
    <n v="9500.6299999999992"/>
    <n v="9500.6299999999992"/>
    <n v="0"/>
    <n v="1"/>
  </r>
  <r>
    <x v="3"/>
    <x v="0"/>
    <x v="18"/>
    <x v="18"/>
    <x v="1078"/>
    <x v="0"/>
    <x v="93"/>
    <n v="11433.9"/>
    <n v="11433.9"/>
    <n v="0"/>
    <n v="1"/>
  </r>
  <r>
    <x v="3"/>
    <x v="0"/>
    <x v="18"/>
    <x v="18"/>
    <x v="1079"/>
    <x v="0"/>
    <x v="275"/>
    <n v="1274.9000000000001"/>
    <n v="1274.9000000000001"/>
    <n v="0"/>
    <n v="1"/>
  </r>
  <r>
    <x v="3"/>
    <x v="0"/>
    <x v="18"/>
    <x v="18"/>
    <x v="1080"/>
    <x v="0"/>
    <x v="90"/>
    <n v="8463.16"/>
    <n v="8463.16"/>
    <n v="0"/>
    <n v="1"/>
  </r>
  <r>
    <x v="3"/>
    <x v="0"/>
    <x v="18"/>
    <x v="18"/>
    <x v="1081"/>
    <x v="0"/>
    <x v="112"/>
    <n v="4340.96"/>
    <n v="4340.96"/>
    <n v="0"/>
    <n v="1"/>
  </r>
  <r>
    <x v="3"/>
    <x v="0"/>
    <x v="18"/>
    <x v="18"/>
    <x v="1082"/>
    <x v="0"/>
    <x v="242"/>
    <n v="5098.3900000000003"/>
    <n v="5098.3900000000003"/>
    <n v="0"/>
    <n v="1"/>
  </r>
  <r>
    <x v="3"/>
    <x v="0"/>
    <x v="18"/>
    <x v="18"/>
    <x v="1083"/>
    <x v="0"/>
    <x v="93"/>
    <n v="12160.54"/>
    <n v="12160.54"/>
    <n v="0"/>
    <n v="1"/>
  </r>
  <r>
    <x v="3"/>
    <x v="0"/>
    <x v="18"/>
    <x v="18"/>
    <x v="1084"/>
    <x v="0"/>
    <x v="108"/>
    <n v="4101.8900000000003"/>
    <n v="4101.8900000000003"/>
    <n v="0"/>
    <n v="1"/>
  </r>
  <r>
    <x v="3"/>
    <x v="0"/>
    <x v="18"/>
    <x v="18"/>
    <x v="1085"/>
    <x v="0"/>
    <x v="404"/>
    <n v="1507.1"/>
    <n v="1507.1"/>
    <n v="0"/>
    <n v="1"/>
  </r>
  <r>
    <x v="3"/>
    <x v="0"/>
    <x v="18"/>
    <x v="18"/>
    <x v="1086"/>
    <x v="0"/>
    <x v="119"/>
    <n v="1184.2"/>
    <n v="1184.2"/>
    <n v="0"/>
    <n v="1"/>
  </r>
  <r>
    <x v="3"/>
    <x v="0"/>
    <x v="18"/>
    <x v="18"/>
    <x v="1087"/>
    <x v="0"/>
    <x v="13"/>
    <n v="4120.45"/>
    <n v="4120.45"/>
    <n v="0"/>
    <n v="1"/>
  </r>
  <r>
    <x v="3"/>
    <x v="0"/>
    <x v="18"/>
    <x v="18"/>
    <x v="1088"/>
    <x v="0"/>
    <x v="14"/>
    <n v="5817.38"/>
    <n v="5817.38"/>
    <n v="0"/>
    <n v="1"/>
  </r>
  <r>
    <x v="3"/>
    <x v="0"/>
    <x v="18"/>
    <x v="18"/>
    <x v="1089"/>
    <x v="0"/>
    <x v="70"/>
    <n v="2264.84"/>
    <n v="2264.84"/>
    <n v="0"/>
    <n v="1"/>
  </r>
  <r>
    <x v="3"/>
    <x v="0"/>
    <x v="18"/>
    <x v="18"/>
    <x v="1090"/>
    <x v="6"/>
    <x v="405"/>
    <n v="-1747.63"/>
    <n v="-1747.63"/>
    <n v="0"/>
    <n v="1"/>
  </r>
  <r>
    <x v="3"/>
    <x v="0"/>
    <x v="18"/>
    <x v="18"/>
    <x v="1091"/>
    <x v="0"/>
    <x v="41"/>
    <n v="4446.7299999999996"/>
    <n v="4446.7299999999996"/>
    <n v="0"/>
    <n v="1"/>
  </r>
  <r>
    <x v="3"/>
    <x v="0"/>
    <x v="18"/>
    <x v="18"/>
    <x v="1092"/>
    <x v="6"/>
    <x v="406"/>
    <n v="-1632.56"/>
    <n v="-1632.56"/>
    <n v="0"/>
    <n v="1"/>
  </r>
  <r>
    <x v="3"/>
    <x v="0"/>
    <x v="18"/>
    <x v="18"/>
    <x v="1093"/>
    <x v="0"/>
    <x v="81"/>
    <n v="4161.1000000000004"/>
    <n v="4161.1000000000004"/>
    <n v="0"/>
    <n v="1"/>
  </r>
  <r>
    <x v="3"/>
    <x v="0"/>
    <x v="18"/>
    <x v="18"/>
    <x v="1094"/>
    <x v="0"/>
    <x v="172"/>
    <n v="2297.92"/>
    <n v="2297.92"/>
    <n v="0"/>
    <n v="1"/>
  </r>
  <r>
    <x v="3"/>
    <x v="0"/>
    <x v="18"/>
    <x v="18"/>
    <x v="1095"/>
    <x v="0"/>
    <x v="407"/>
    <n v="716.34"/>
    <n v="716.34"/>
    <n v="0"/>
    <n v="1"/>
  </r>
  <r>
    <x v="3"/>
    <x v="0"/>
    <x v="18"/>
    <x v="18"/>
    <x v="1096"/>
    <x v="0"/>
    <x v="408"/>
    <n v="410.19"/>
    <n v="410.19"/>
    <n v="0"/>
    <n v="1"/>
  </r>
  <r>
    <x v="3"/>
    <x v="0"/>
    <x v="18"/>
    <x v="18"/>
    <x v="1097"/>
    <x v="0"/>
    <x v="259"/>
    <n v="479.52"/>
    <n v="479.52"/>
    <n v="0"/>
    <n v="1"/>
  </r>
  <r>
    <x v="3"/>
    <x v="0"/>
    <x v="18"/>
    <x v="18"/>
    <x v="1098"/>
    <x v="0"/>
    <x v="79"/>
    <n v="2105.98"/>
    <n v="2105.98"/>
    <n v="0"/>
    <n v="1"/>
  </r>
  <r>
    <x v="3"/>
    <x v="0"/>
    <x v="18"/>
    <x v="18"/>
    <x v="1099"/>
    <x v="0"/>
    <x v="339"/>
    <n v="544.39"/>
    <n v="544.39"/>
    <n v="0"/>
    <n v="1"/>
  </r>
  <r>
    <x v="3"/>
    <x v="0"/>
    <x v="18"/>
    <x v="18"/>
    <x v="1100"/>
    <x v="0"/>
    <x v="409"/>
    <n v="582.49"/>
    <n v="582.49"/>
    <n v="0"/>
    <n v="1"/>
  </r>
  <r>
    <x v="3"/>
    <x v="0"/>
    <x v="18"/>
    <x v="18"/>
    <x v="1101"/>
    <x v="0"/>
    <x v="321"/>
    <n v="607.38"/>
    <n v="607.38"/>
    <n v="0"/>
    <n v="1"/>
  </r>
  <r>
    <x v="3"/>
    <x v="0"/>
    <x v="18"/>
    <x v="18"/>
    <x v="1102"/>
    <x v="0"/>
    <x v="137"/>
    <n v="689.38"/>
    <n v="689.38"/>
    <n v="0"/>
    <n v="1"/>
  </r>
  <r>
    <x v="3"/>
    <x v="0"/>
    <x v="18"/>
    <x v="18"/>
    <x v="1103"/>
    <x v="0"/>
    <x v="387"/>
    <n v="1032.02"/>
    <n v="1032.02"/>
    <n v="0"/>
    <n v="1"/>
  </r>
  <r>
    <x v="3"/>
    <x v="0"/>
    <x v="18"/>
    <x v="18"/>
    <x v="1104"/>
    <x v="0"/>
    <x v="191"/>
    <n v="732.72"/>
    <n v="732.72"/>
    <n v="0"/>
    <n v="1"/>
  </r>
  <r>
    <x v="3"/>
    <x v="0"/>
    <x v="18"/>
    <x v="18"/>
    <x v="1105"/>
    <x v="0"/>
    <x v="410"/>
    <n v="2497.58"/>
    <n v="2497.58"/>
    <n v="0"/>
    <n v="1"/>
  </r>
  <r>
    <x v="3"/>
    <x v="0"/>
    <x v="18"/>
    <x v="18"/>
    <x v="1106"/>
    <x v="0"/>
    <x v="411"/>
    <n v="913.04"/>
    <n v="913.04"/>
    <n v="0"/>
    <n v="1"/>
  </r>
  <r>
    <x v="3"/>
    <x v="0"/>
    <x v="18"/>
    <x v="18"/>
    <x v="1107"/>
    <x v="0"/>
    <x v="387"/>
    <n v="916.42"/>
    <n v="916.42"/>
    <n v="0"/>
    <n v="1"/>
  </r>
  <r>
    <x v="3"/>
    <x v="0"/>
    <x v="18"/>
    <x v="18"/>
    <x v="1108"/>
    <x v="0"/>
    <x v="147"/>
    <n v="2888.55"/>
    <n v="2888.55"/>
    <n v="0"/>
    <n v="1"/>
  </r>
  <r>
    <x v="3"/>
    <x v="0"/>
    <x v="18"/>
    <x v="18"/>
    <x v="1109"/>
    <x v="0"/>
    <x v="172"/>
    <n v="1261.1199999999999"/>
    <n v="1261.1199999999999"/>
    <n v="0"/>
    <n v="1"/>
  </r>
  <r>
    <x v="3"/>
    <x v="0"/>
    <x v="18"/>
    <x v="18"/>
    <x v="1110"/>
    <x v="0"/>
    <x v="26"/>
    <n v="1137.99"/>
    <n v="1137.99"/>
    <n v="0"/>
    <n v="1"/>
  </r>
  <r>
    <x v="3"/>
    <x v="0"/>
    <x v="18"/>
    <x v="18"/>
    <x v="1111"/>
    <x v="0"/>
    <x v="19"/>
    <n v="3248.57"/>
    <n v="3248.57"/>
    <n v="0"/>
    <n v="1"/>
  </r>
  <r>
    <x v="3"/>
    <x v="0"/>
    <x v="18"/>
    <x v="18"/>
    <x v="1112"/>
    <x v="0"/>
    <x v="29"/>
    <n v="1024.44"/>
    <n v="1024.44"/>
    <n v="0"/>
    <n v="1"/>
  </r>
  <r>
    <x v="3"/>
    <x v="0"/>
    <x v="18"/>
    <x v="18"/>
    <x v="1113"/>
    <x v="0"/>
    <x v="146"/>
    <n v="1030.0899999999999"/>
    <n v="1030.0899999999999"/>
    <n v="0"/>
    <n v="1"/>
  </r>
  <r>
    <x v="3"/>
    <x v="0"/>
    <x v="18"/>
    <x v="18"/>
    <x v="1114"/>
    <x v="0"/>
    <x v="174"/>
    <n v="25595.279999999999"/>
    <n v="25595.279999999999"/>
    <n v="0"/>
    <n v="1"/>
  </r>
  <r>
    <x v="3"/>
    <x v="0"/>
    <x v="18"/>
    <x v="18"/>
    <x v="1115"/>
    <x v="0"/>
    <x v="382"/>
    <n v="1123.8699999999999"/>
    <n v="1123.8699999999999"/>
    <n v="0"/>
    <n v="1"/>
  </r>
  <r>
    <x v="3"/>
    <x v="0"/>
    <x v="18"/>
    <x v="18"/>
    <x v="1116"/>
    <x v="0"/>
    <x v="412"/>
    <n v="1076.74"/>
    <n v="1076.74"/>
    <n v="0"/>
    <n v="1"/>
  </r>
  <r>
    <x v="3"/>
    <x v="0"/>
    <x v="18"/>
    <x v="18"/>
    <x v="1117"/>
    <x v="0"/>
    <x v="77"/>
    <n v="2543.64"/>
    <n v="2543.64"/>
    <n v="0"/>
    <n v="1"/>
  </r>
  <r>
    <x v="3"/>
    <x v="0"/>
    <x v="18"/>
    <x v="18"/>
    <x v="1118"/>
    <x v="6"/>
    <x v="413"/>
    <n v="-6260.36"/>
    <n v="-6260.36"/>
    <n v="0"/>
    <n v="1"/>
  </r>
  <r>
    <x v="3"/>
    <x v="0"/>
    <x v="18"/>
    <x v="18"/>
    <x v="1119"/>
    <x v="6"/>
    <x v="414"/>
    <n v="-4712.29"/>
    <n v="-4712.29"/>
    <n v="0"/>
    <n v="1"/>
  </r>
  <r>
    <x v="3"/>
    <x v="0"/>
    <x v="18"/>
    <x v="18"/>
    <x v="1120"/>
    <x v="0"/>
    <x v="256"/>
    <n v="1345.48"/>
    <n v="1345.48"/>
    <n v="0"/>
    <n v="1"/>
  </r>
  <r>
    <x v="3"/>
    <x v="0"/>
    <x v="18"/>
    <x v="18"/>
    <x v="1121"/>
    <x v="6"/>
    <x v="415"/>
    <n v="-25813.06"/>
    <n v="-25813.06"/>
    <n v="0"/>
    <n v="1"/>
  </r>
  <r>
    <x v="3"/>
    <x v="0"/>
    <x v="18"/>
    <x v="18"/>
    <x v="1122"/>
    <x v="0"/>
    <x v="225"/>
    <n v="1933.56"/>
    <n v="1933.56"/>
    <n v="0"/>
    <n v="1"/>
  </r>
  <r>
    <x v="3"/>
    <x v="0"/>
    <x v="18"/>
    <x v="18"/>
    <x v="1123"/>
    <x v="0"/>
    <x v="416"/>
    <n v="948.8"/>
    <n v="948.8"/>
    <n v="0"/>
    <n v="1"/>
  </r>
  <r>
    <x v="3"/>
    <x v="0"/>
    <x v="18"/>
    <x v="18"/>
    <x v="1124"/>
    <x v="0"/>
    <x v="279"/>
    <n v="1231.72"/>
    <n v="1231.72"/>
    <n v="0"/>
    <n v="1"/>
  </r>
  <r>
    <x v="3"/>
    <x v="0"/>
    <x v="18"/>
    <x v="18"/>
    <x v="1125"/>
    <x v="6"/>
    <x v="417"/>
    <n v="-23801.5"/>
    <n v="-23801.5"/>
    <n v="0"/>
    <n v="1"/>
  </r>
  <r>
    <x v="3"/>
    <x v="0"/>
    <x v="18"/>
    <x v="18"/>
    <x v="1126"/>
    <x v="6"/>
    <x v="418"/>
    <n v="-18101.14"/>
    <n v="-18101.14"/>
    <n v="0"/>
    <n v="1"/>
  </r>
  <r>
    <x v="3"/>
    <x v="0"/>
    <x v="18"/>
    <x v="18"/>
    <x v="1127"/>
    <x v="0"/>
    <x v="108"/>
    <n v="8256.92"/>
    <n v="8256.92"/>
    <n v="0"/>
    <n v="1"/>
  </r>
  <r>
    <x v="3"/>
    <x v="0"/>
    <x v="18"/>
    <x v="18"/>
    <x v="1128"/>
    <x v="0"/>
    <x v="372"/>
    <n v="4378.5200000000004"/>
    <n v="4378.5200000000004"/>
    <n v="0"/>
    <n v="1"/>
  </r>
  <r>
    <x v="3"/>
    <x v="0"/>
    <x v="18"/>
    <x v="18"/>
    <x v="1129"/>
    <x v="0"/>
    <x v="387"/>
    <n v="949.68"/>
    <n v="949.68"/>
    <n v="0"/>
    <n v="1"/>
  </r>
  <r>
    <x v="3"/>
    <x v="0"/>
    <x v="18"/>
    <x v="18"/>
    <x v="1130"/>
    <x v="6"/>
    <x v="419"/>
    <n v="-12999.72"/>
    <n v="-12999.72"/>
    <n v="0"/>
    <n v="1"/>
  </r>
  <r>
    <x v="3"/>
    <x v="0"/>
    <x v="18"/>
    <x v="18"/>
    <x v="1131"/>
    <x v="6"/>
    <x v="420"/>
    <n v="-11518.31"/>
    <n v="-11518.31"/>
    <n v="0"/>
    <n v="1"/>
  </r>
  <r>
    <x v="3"/>
    <x v="0"/>
    <x v="18"/>
    <x v="18"/>
    <x v="1132"/>
    <x v="0"/>
    <x v="71"/>
    <n v="1149.6300000000001"/>
    <n v="1149.6300000000001"/>
    <n v="0"/>
    <n v="1"/>
  </r>
  <r>
    <x v="3"/>
    <x v="0"/>
    <x v="18"/>
    <x v="18"/>
    <x v="1133"/>
    <x v="0"/>
    <x v="340"/>
    <n v="6393.27"/>
    <n v="6393.27"/>
    <n v="0"/>
    <n v="1"/>
  </r>
  <r>
    <x v="3"/>
    <x v="0"/>
    <x v="18"/>
    <x v="18"/>
    <x v="1134"/>
    <x v="6"/>
    <x v="421"/>
    <n v="-10192.56"/>
    <n v="-10192.56"/>
    <n v="0"/>
    <n v="1"/>
  </r>
  <r>
    <x v="3"/>
    <x v="0"/>
    <x v="18"/>
    <x v="18"/>
    <x v="1135"/>
    <x v="0"/>
    <x v="383"/>
    <n v="2551.19"/>
    <n v="2551.19"/>
    <n v="0"/>
    <n v="1"/>
  </r>
  <r>
    <x v="3"/>
    <x v="0"/>
    <x v="18"/>
    <x v="18"/>
    <x v="1136"/>
    <x v="0"/>
    <x v="173"/>
    <n v="5679.52"/>
    <n v="5679.52"/>
    <n v="0"/>
    <n v="1"/>
  </r>
  <r>
    <x v="3"/>
    <x v="0"/>
    <x v="18"/>
    <x v="18"/>
    <x v="1137"/>
    <x v="6"/>
    <x v="422"/>
    <n v="-6530.3"/>
    <n v="-6530.3"/>
    <n v="0"/>
    <n v="1"/>
  </r>
  <r>
    <x v="3"/>
    <x v="0"/>
    <x v="18"/>
    <x v="18"/>
    <x v="1138"/>
    <x v="6"/>
    <x v="423"/>
    <n v="-6810.94"/>
    <n v="-6810.94"/>
    <n v="0"/>
    <n v="1"/>
  </r>
  <r>
    <x v="3"/>
    <x v="0"/>
    <x v="18"/>
    <x v="18"/>
    <x v="1139"/>
    <x v="0"/>
    <x v="382"/>
    <n v="6018.23"/>
    <n v="6018.23"/>
    <n v="0"/>
    <n v="1"/>
  </r>
  <r>
    <x v="3"/>
    <x v="0"/>
    <x v="18"/>
    <x v="18"/>
    <x v="1140"/>
    <x v="6"/>
    <x v="424"/>
    <n v="-7210.5"/>
    <n v="-7210.5"/>
    <n v="0"/>
    <n v="1"/>
  </r>
  <r>
    <x v="3"/>
    <x v="0"/>
    <x v="18"/>
    <x v="18"/>
    <x v="1141"/>
    <x v="0"/>
    <x v="154"/>
    <n v="1108.06"/>
    <n v="1108.06"/>
    <n v="0"/>
    <n v="1"/>
  </r>
  <r>
    <x v="3"/>
    <x v="0"/>
    <x v="18"/>
    <x v="18"/>
    <x v="1142"/>
    <x v="6"/>
    <x v="425"/>
    <n v="-8067.2"/>
    <n v="-8067.2"/>
    <n v="0"/>
    <n v="1"/>
  </r>
  <r>
    <x v="3"/>
    <x v="0"/>
    <x v="18"/>
    <x v="18"/>
    <x v="1143"/>
    <x v="6"/>
    <x v="426"/>
    <n v="-9948.67"/>
    <n v="-9948.67"/>
    <n v="0"/>
    <n v="1"/>
  </r>
  <r>
    <x v="3"/>
    <x v="0"/>
    <x v="18"/>
    <x v="18"/>
    <x v="1144"/>
    <x v="6"/>
    <x v="427"/>
    <n v="-8504.3700000000008"/>
    <n v="-8504.3700000000008"/>
    <n v="0"/>
    <n v="1"/>
  </r>
  <r>
    <x v="3"/>
    <x v="0"/>
    <x v="18"/>
    <x v="18"/>
    <x v="1145"/>
    <x v="0"/>
    <x v="428"/>
    <n v="2533.98"/>
    <n v="2533.98"/>
    <n v="0"/>
    <n v="1"/>
  </r>
  <r>
    <x v="3"/>
    <x v="0"/>
    <x v="18"/>
    <x v="18"/>
    <x v="1146"/>
    <x v="6"/>
    <x v="429"/>
    <n v="-9162.09"/>
    <n v="-9162.09"/>
    <n v="0"/>
    <n v="1"/>
  </r>
  <r>
    <x v="3"/>
    <x v="0"/>
    <x v="18"/>
    <x v="18"/>
    <x v="1147"/>
    <x v="0"/>
    <x v="291"/>
    <n v="711.9"/>
    <n v="711.9"/>
    <n v="0"/>
    <n v="1"/>
  </r>
  <r>
    <x v="3"/>
    <x v="0"/>
    <x v="18"/>
    <x v="18"/>
    <x v="1148"/>
    <x v="6"/>
    <x v="430"/>
    <n v="-9177.9599999999991"/>
    <n v="-9177.9599999999991"/>
    <n v="0"/>
    <n v="1"/>
  </r>
  <r>
    <x v="3"/>
    <x v="0"/>
    <x v="18"/>
    <x v="18"/>
    <x v="1149"/>
    <x v="6"/>
    <x v="431"/>
    <n v="-8571.43"/>
    <n v="-8571.43"/>
    <n v="0"/>
    <n v="1"/>
  </r>
  <r>
    <x v="3"/>
    <x v="0"/>
    <x v="19"/>
    <x v="19"/>
    <x v="1150"/>
    <x v="0"/>
    <x v="208"/>
    <n v="4354.3100000000004"/>
    <n v="4354.3100000000004"/>
    <n v="0"/>
    <n v="1"/>
  </r>
  <r>
    <x v="3"/>
    <x v="0"/>
    <x v="19"/>
    <x v="19"/>
    <x v="1151"/>
    <x v="0"/>
    <x v="79"/>
    <n v="1495.73"/>
    <n v="1495.73"/>
    <n v="0"/>
    <n v="1"/>
  </r>
  <r>
    <x v="3"/>
    <x v="0"/>
    <x v="19"/>
    <x v="19"/>
    <x v="1152"/>
    <x v="0"/>
    <x v="432"/>
    <n v="4075.67"/>
    <n v="4075.67"/>
    <n v="0"/>
    <n v="1"/>
  </r>
  <r>
    <x v="3"/>
    <x v="0"/>
    <x v="19"/>
    <x v="19"/>
    <x v="1153"/>
    <x v="0"/>
    <x v="238"/>
    <n v="2069.1999999999998"/>
    <n v="2069.1999999999998"/>
    <n v="0"/>
    <n v="1"/>
  </r>
  <r>
    <x v="3"/>
    <x v="0"/>
    <x v="19"/>
    <x v="19"/>
    <x v="1154"/>
    <x v="0"/>
    <x v="367"/>
    <n v="4607.6000000000004"/>
    <n v="4607.6000000000004"/>
    <n v="0"/>
    <n v="1"/>
  </r>
  <r>
    <x v="3"/>
    <x v="0"/>
    <x v="19"/>
    <x v="19"/>
    <x v="1155"/>
    <x v="0"/>
    <x v="163"/>
    <n v="1688.05"/>
    <n v="1688.05"/>
    <n v="0"/>
    <n v="1"/>
  </r>
  <r>
    <x v="3"/>
    <x v="0"/>
    <x v="19"/>
    <x v="19"/>
    <x v="1156"/>
    <x v="0"/>
    <x v="143"/>
    <n v="472.16"/>
    <n v="472.16"/>
    <n v="0"/>
    <n v="1"/>
  </r>
  <r>
    <x v="3"/>
    <x v="0"/>
    <x v="19"/>
    <x v="19"/>
    <x v="1157"/>
    <x v="0"/>
    <x v="276"/>
    <n v="1529.48"/>
    <n v="1529.48"/>
    <n v="0"/>
    <n v="1"/>
  </r>
  <r>
    <x v="3"/>
    <x v="0"/>
    <x v="19"/>
    <x v="19"/>
    <x v="1158"/>
    <x v="0"/>
    <x v="409"/>
    <n v="603.30999999999995"/>
    <n v="603.30999999999995"/>
    <n v="0"/>
    <n v="1"/>
  </r>
  <r>
    <x v="3"/>
    <x v="0"/>
    <x v="19"/>
    <x v="19"/>
    <x v="1159"/>
    <x v="0"/>
    <x v="97"/>
    <n v="14414.52"/>
    <n v="14414.52"/>
    <n v="0"/>
    <n v="1"/>
  </r>
  <r>
    <x v="3"/>
    <x v="0"/>
    <x v="19"/>
    <x v="19"/>
    <x v="1160"/>
    <x v="0"/>
    <x v="113"/>
    <n v="14333.74"/>
    <n v="14333.74"/>
    <n v="0"/>
    <n v="1"/>
  </r>
  <r>
    <x v="3"/>
    <x v="0"/>
    <x v="19"/>
    <x v="19"/>
    <x v="1161"/>
    <x v="0"/>
    <x v="25"/>
    <n v="868.24"/>
    <n v="868.24"/>
    <n v="0"/>
    <n v="1"/>
  </r>
  <r>
    <x v="3"/>
    <x v="0"/>
    <x v="19"/>
    <x v="19"/>
    <x v="1162"/>
    <x v="0"/>
    <x v="105"/>
    <n v="16216.55"/>
    <n v="16216.55"/>
    <n v="0"/>
    <n v="1"/>
  </r>
  <r>
    <x v="3"/>
    <x v="0"/>
    <x v="19"/>
    <x v="19"/>
    <x v="1163"/>
    <x v="0"/>
    <x v="112"/>
    <n v="5667.05"/>
    <n v="5667.05"/>
    <n v="0"/>
    <n v="1"/>
  </r>
  <r>
    <x v="3"/>
    <x v="0"/>
    <x v="19"/>
    <x v="19"/>
    <x v="1164"/>
    <x v="0"/>
    <x v="123"/>
    <n v="4161.57"/>
    <n v="4161.57"/>
    <n v="0"/>
    <n v="1"/>
  </r>
  <r>
    <x v="3"/>
    <x v="0"/>
    <x v="19"/>
    <x v="19"/>
    <x v="1165"/>
    <x v="0"/>
    <x v="398"/>
    <n v="7248.5"/>
    <n v="7248.5"/>
    <n v="0"/>
    <n v="1"/>
  </r>
  <r>
    <x v="3"/>
    <x v="0"/>
    <x v="19"/>
    <x v="19"/>
    <x v="1166"/>
    <x v="0"/>
    <x v="220"/>
    <n v="882.62"/>
    <n v="882.62"/>
    <n v="0"/>
    <n v="1"/>
  </r>
  <r>
    <x v="3"/>
    <x v="0"/>
    <x v="19"/>
    <x v="19"/>
    <x v="1167"/>
    <x v="0"/>
    <x v="297"/>
    <n v="1317.81"/>
    <n v="1317.81"/>
    <n v="0"/>
    <n v="1"/>
  </r>
  <r>
    <x v="3"/>
    <x v="0"/>
    <x v="19"/>
    <x v="19"/>
    <x v="1168"/>
    <x v="0"/>
    <x v="91"/>
    <n v="7076.04"/>
    <n v="7076.04"/>
    <n v="0"/>
    <n v="1"/>
  </r>
  <r>
    <x v="3"/>
    <x v="0"/>
    <x v="19"/>
    <x v="19"/>
    <x v="1169"/>
    <x v="0"/>
    <x v="282"/>
    <n v="893.32"/>
    <n v="893.32"/>
    <n v="0"/>
    <n v="1"/>
  </r>
  <r>
    <x v="3"/>
    <x v="0"/>
    <x v="19"/>
    <x v="19"/>
    <x v="1170"/>
    <x v="0"/>
    <x v="314"/>
    <n v="5831.69"/>
    <n v="5831.69"/>
    <n v="0"/>
    <n v="1"/>
  </r>
  <r>
    <x v="3"/>
    <x v="0"/>
    <x v="19"/>
    <x v="19"/>
    <x v="1171"/>
    <x v="0"/>
    <x v="196"/>
    <n v="22825.81"/>
    <n v="22825.81"/>
    <n v="0"/>
    <n v="1"/>
  </r>
  <r>
    <x v="3"/>
    <x v="0"/>
    <x v="19"/>
    <x v="19"/>
    <x v="1172"/>
    <x v="0"/>
    <x v="82"/>
    <n v="1159.3"/>
    <n v="1159.3"/>
    <n v="0"/>
    <n v="1"/>
  </r>
  <r>
    <x v="3"/>
    <x v="0"/>
    <x v="19"/>
    <x v="19"/>
    <x v="1173"/>
    <x v="0"/>
    <x v="122"/>
    <n v="1673.29"/>
    <n v="1673.29"/>
    <n v="0"/>
    <n v="1"/>
  </r>
  <r>
    <x v="3"/>
    <x v="0"/>
    <x v="19"/>
    <x v="19"/>
    <x v="1174"/>
    <x v="0"/>
    <x v="260"/>
    <n v="1051.3800000000001"/>
    <n v="1051.3800000000001"/>
    <n v="0"/>
    <n v="1"/>
  </r>
  <r>
    <x v="3"/>
    <x v="0"/>
    <x v="19"/>
    <x v="19"/>
    <x v="1175"/>
    <x v="0"/>
    <x v="237"/>
    <n v="1118.8800000000001"/>
    <n v="1118.8800000000001"/>
    <n v="0"/>
    <n v="1"/>
  </r>
  <r>
    <x v="3"/>
    <x v="0"/>
    <x v="19"/>
    <x v="19"/>
    <x v="1176"/>
    <x v="0"/>
    <x v="160"/>
    <n v="2089.61"/>
    <n v="2089.61"/>
    <n v="0"/>
    <n v="1"/>
  </r>
  <r>
    <x v="3"/>
    <x v="0"/>
    <x v="19"/>
    <x v="19"/>
    <x v="1177"/>
    <x v="0"/>
    <x v="177"/>
    <n v="1260.54"/>
    <n v="1260.54"/>
    <n v="0"/>
    <n v="1"/>
  </r>
  <r>
    <x v="3"/>
    <x v="0"/>
    <x v="19"/>
    <x v="19"/>
    <x v="1178"/>
    <x v="0"/>
    <x v="251"/>
    <n v="13693.8"/>
    <n v="13693.8"/>
    <n v="0"/>
    <n v="1"/>
  </r>
  <r>
    <x v="3"/>
    <x v="0"/>
    <x v="19"/>
    <x v="19"/>
    <x v="1179"/>
    <x v="0"/>
    <x v="13"/>
    <n v="4319.6499999999996"/>
    <n v="4319.6499999999996"/>
    <n v="0"/>
    <n v="1"/>
  </r>
  <r>
    <x v="3"/>
    <x v="0"/>
    <x v="19"/>
    <x v="19"/>
    <x v="1180"/>
    <x v="0"/>
    <x v="109"/>
    <n v="14066.58"/>
    <n v="14066.58"/>
    <n v="0"/>
    <n v="1"/>
  </r>
  <r>
    <x v="3"/>
    <x v="0"/>
    <x v="19"/>
    <x v="19"/>
    <x v="1181"/>
    <x v="0"/>
    <x v="2"/>
    <n v="902.65"/>
    <n v="902.65"/>
    <n v="0"/>
    <n v="1"/>
  </r>
  <r>
    <x v="3"/>
    <x v="0"/>
    <x v="19"/>
    <x v="19"/>
    <x v="1182"/>
    <x v="0"/>
    <x v="433"/>
    <n v="1573.38"/>
    <n v="1573.38"/>
    <n v="0"/>
    <n v="1"/>
  </r>
  <r>
    <x v="3"/>
    <x v="0"/>
    <x v="19"/>
    <x v="19"/>
    <x v="1183"/>
    <x v="0"/>
    <x v="123"/>
    <n v="5302.97"/>
    <n v="5302.97"/>
    <n v="0"/>
    <n v="1"/>
  </r>
  <r>
    <x v="3"/>
    <x v="0"/>
    <x v="19"/>
    <x v="19"/>
    <x v="1184"/>
    <x v="0"/>
    <x v="15"/>
    <n v="1786.78"/>
    <n v="1786.78"/>
    <n v="0"/>
    <n v="1"/>
  </r>
  <r>
    <x v="3"/>
    <x v="0"/>
    <x v="19"/>
    <x v="19"/>
    <x v="1185"/>
    <x v="0"/>
    <x v="21"/>
    <n v="2608.5300000000002"/>
    <n v="2608.5300000000002"/>
    <n v="0"/>
    <n v="1"/>
  </r>
  <r>
    <x v="3"/>
    <x v="0"/>
    <x v="19"/>
    <x v="19"/>
    <x v="1186"/>
    <x v="0"/>
    <x v="128"/>
    <n v="1456.65"/>
    <n v="1456.65"/>
    <n v="0"/>
    <n v="1"/>
  </r>
  <r>
    <x v="3"/>
    <x v="0"/>
    <x v="19"/>
    <x v="19"/>
    <x v="1187"/>
    <x v="0"/>
    <x v="271"/>
    <n v="323.16000000000003"/>
    <n v="323.16000000000003"/>
    <n v="0"/>
    <n v="1"/>
  </r>
  <r>
    <x v="3"/>
    <x v="0"/>
    <x v="19"/>
    <x v="19"/>
    <x v="1188"/>
    <x v="0"/>
    <x v="256"/>
    <n v="2097.8000000000002"/>
    <n v="2097.8000000000002"/>
    <n v="0"/>
    <n v="1"/>
  </r>
  <r>
    <x v="3"/>
    <x v="0"/>
    <x v="19"/>
    <x v="19"/>
    <x v="1189"/>
    <x v="0"/>
    <x v="434"/>
    <n v="929.44"/>
    <n v="929.44"/>
    <n v="0"/>
    <n v="1"/>
  </r>
  <r>
    <x v="3"/>
    <x v="0"/>
    <x v="19"/>
    <x v="19"/>
    <x v="1190"/>
    <x v="0"/>
    <x v="160"/>
    <n v="4856.0600000000004"/>
    <n v="4856.0600000000004"/>
    <n v="0"/>
    <n v="1"/>
  </r>
  <r>
    <x v="3"/>
    <x v="0"/>
    <x v="19"/>
    <x v="19"/>
    <x v="1191"/>
    <x v="0"/>
    <x v="337"/>
    <n v="662.92"/>
    <n v="662.92"/>
    <n v="0"/>
    <n v="1"/>
  </r>
  <r>
    <x v="3"/>
    <x v="0"/>
    <x v="19"/>
    <x v="19"/>
    <x v="1192"/>
    <x v="0"/>
    <x v="433"/>
    <n v="2101.2399999999998"/>
    <n v="2101.2399999999998"/>
    <n v="0"/>
    <n v="1"/>
  </r>
  <r>
    <x v="3"/>
    <x v="0"/>
    <x v="19"/>
    <x v="19"/>
    <x v="1193"/>
    <x v="0"/>
    <x v="393"/>
    <n v="732.72"/>
    <n v="732.72"/>
    <n v="0"/>
    <n v="1"/>
  </r>
  <r>
    <x v="3"/>
    <x v="0"/>
    <x v="19"/>
    <x v="19"/>
    <x v="1194"/>
    <x v="0"/>
    <x v="124"/>
    <n v="7899.23"/>
    <n v="7899.23"/>
    <n v="0"/>
    <n v="1"/>
  </r>
  <r>
    <x v="3"/>
    <x v="0"/>
    <x v="19"/>
    <x v="19"/>
    <x v="1195"/>
    <x v="0"/>
    <x v="158"/>
    <n v="3018.09"/>
    <n v="3018.09"/>
    <n v="0"/>
    <n v="1"/>
  </r>
  <r>
    <x v="3"/>
    <x v="0"/>
    <x v="19"/>
    <x v="19"/>
    <x v="1196"/>
    <x v="0"/>
    <x v="371"/>
    <n v="3140.01"/>
    <n v="3140.01"/>
    <n v="0"/>
    <n v="1"/>
  </r>
  <r>
    <x v="3"/>
    <x v="0"/>
    <x v="19"/>
    <x v="19"/>
    <x v="1197"/>
    <x v="0"/>
    <x v="333"/>
    <n v="6361.39"/>
    <n v="6361.39"/>
    <n v="0"/>
    <n v="1"/>
  </r>
  <r>
    <x v="3"/>
    <x v="0"/>
    <x v="19"/>
    <x v="19"/>
    <x v="1198"/>
    <x v="0"/>
    <x v="435"/>
    <n v="2182.3000000000002"/>
    <n v="2182.3000000000002"/>
    <n v="0"/>
    <n v="1"/>
  </r>
  <r>
    <x v="3"/>
    <x v="0"/>
    <x v="19"/>
    <x v="19"/>
    <x v="1199"/>
    <x v="0"/>
    <x v="9"/>
    <n v="6919.74"/>
    <n v="6919.74"/>
    <n v="0"/>
    <n v="1"/>
  </r>
  <r>
    <x v="3"/>
    <x v="0"/>
    <x v="19"/>
    <x v="19"/>
    <x v="1200"/>
    <x v="0"/>
    <x v="412"/>
    <n v="561.35"/>
    <n v="561.35"/>
    <n v="0"/>
    <n v="1"/>
  </r>
  <r>
    <x v="3"/>
    <x v="0"/>
    <x v="19"/>
    <x v="19"/>
    <x v="1201"/>
    <x v="0"/>
    <x v="179"/>
    <n v="9052.4500000000007"/>
    <n v="9052.4500000000007"/>
    <n v="0"/>
    <n v="1"/>
  </r>
  <r>
    <x v="3"/>
    <x v="0"/>
    <x v="19"/>
    <x v="19"/>
    <x v="1202"/>
    <x v="0"/>
    <x v="92"/>
    <n v="2995.34"/>
    <n v="2995.34"/>
    <n v="0"/>
    <n v="1"/>
  </r>
  <r>
    <x v="3"/>
    <x v="0"/>
    <x v="19"/>
    <x v="19"/>
    <x v="1203"/>
    <x v="0"/>
    <x v="98"/>
    <n v="3599.02"/>
    <n v="3599.02"/>
    <n v="0"/>
    <n v="1"/>
  </r>
  <r>
    <x v="3"/>
    <x v="2"/>
    <x v="20"/>
    <x v="20"/>
    <x v="1204"/>
    <x v="5"/>
    <x v="436"/>
    <n v="2427.48"/>
    <n v="2427.48"/>
    <n v="0"/>
    <n v="1"/>
  </r>
  <r>
    <x v="3"/>
    <x v="0"/>
    <x v="20"/>
    <x v="20"/>
    <x v="1205"/>
    <x v="0"/>
    <x v="103"/>
    <n v="3853.97"/>
    <n v="3853.97"/>
    <n v="0"/>
    <n v="1"/>
  </r>
  <r>
    <x v="3"/>
    <x v="2"/>
    <x v="20"/>
    <x v="20"/>
    <x v="1206"/>
    <x v="5"/>
    <x v="437"/>
    <n v="650.33000000000004"/>
    <n v="650.33000000000004"/>
    <n v="0"/>
    <n v="1"/>
  </r>
  <r>
    <x v="3"/>
    <x v="0"/>
    <x v="20"/>
    <x v="20"/>
    <x v="1207"/>
    <x v="0"/>
    <x v="13"/>
    <n v="2521.89"/>
    <n v="2521.89"/>
    <n v="0"/>
    <n v="1"/>
  </r>
  <r>
    <x v="3"/>
    <x v="0"/>
    <x v="20"/>
    <x v="20"/>
    <x v="1208"/>
    <x v="0"/>
    <x v="113"/>
    <n v="10790.29"/>
    <n v="10790.29"/>
    <n v="0"/>
    <n v="1"/>
  </r>
  <r>
    <x v="3"/>
    <x v="0"/>
    <x v="20"/>
    <x v="20"/>
    <x v="1209"/>
    <x v="0"/>
    <x v="314"/>
    <n v="6462.38"/>
    <n v="6462.38"/>
    <n v="0"/>
    <n v="1"/>
  </r>
  <r>
    <x v="3"/>
    <x v="0"/>
    <x v="20"/>
    <x v="20"/>
    <x v="1210"/>
    <x v="0"/>
    <x v="105"/>
    <n v="4116.95"/>
    <n v="4116.95"/>
    <n v="0"/>
    <n v="1"/>
  </r>
  <r>
    <x v="3"/>
    <x v="0"/>
    <x v="20"/>
    <x v="20"/>
    <x v="1211"/>
    <x v="0"/>
    <x v="106"/>
    <n v="18875.93"/>
    <n v="18875.93"/>
    <n v="0"/>
    <n v="1"/>
  </r>
  <r>
    <x v="3"/>
    <x v="0"/>
    <x v="20"/>
    <x v="20"/>
    <x v="1212"/>
    <x v="0"/>
    <x v="248"/>
    <n v="5706.48"/>
    <n v="5706.48"/>
    <n v="0"/>
    <n v="1"/>
  </r>
  <r>
    <x v="3"/>
    <x v="0"/>
    <x v="20"/>
    <x v="20"/>
    <x v="1213"/>
    <x v="0"/>
    <x v="172"/>
    <n v="895.05"/>
    <n v="895.05"/>
    <n v="0"/>
    <n v="1"/>
  </r>
  <r>
    <x v="3"/>
    <x v="0"/>
    <x v="20"/>
    <x v="20"/>
    <x v="1214"/>
    <x v="0"/>
    <x v="18"/>
    <n v="1638.83"/>
    <n v="1638.83"/>
    <n v="0"/>
    <n v="1"/>
  </r>
  <r>
    <x v="3"/>
    <x v="0"/>
    <x v="20"/>
    <x v="20"/>
    <x v="1215"/>
    <x v="0"/>
    <x v="164"/>
    <n v="4584.3500000000004"/>
    <n v="4584.3500000000004"/>
    <n v="0"/>
    <n v="1"/>
  </r>
  <r>
    <x v="3"/>
    <x v="0"/>
    <x v="20"/>
    <x v="20"/>
    <x v="1216"/>
    <x v="0"/>
    <x v="248"/>
    <n v="2522.75"/>
    <n v="2522.75"/>
    <n v="0"/>
    <n v="1"/>
  </r>
  <r>
    <x v="3"/>
    <x v="0"/>
    <x v="20"/>
    <x v="20"/>
    <x v="1217"/>
    <x v="0"/>
    <x v="137"/>
    <n v="997.98"/>
    <n v="997.98"/>
    <n v="0"/>
    <n v="1"/>
  </r>
  <r>
    <x v="3"/>
    <x v="0"/>
    <x v="20"/>
    <x v="20"/>
    <x v="1218"/>
    <x v="0"/>
    <x v="237"/>
    <n v="798.72"/>
    <n v="798.72"/>
    <n v="0"/>
    <n v="1"/>
  </r>
  <r>
    <x v="3"/>
    <x v="0"/>
    <x v="20"/>
    <x v="20"/>
    <x v="1219"/>
    <x v="0"/>
    <x v="104"/>
    <n v="6472.23"/>
    <n v="6472.23"/>
    <n v="0"/>
    <n v="1"/>
  </r>
  <r>
    <x v="3"/>
    <x v="0"/>
    <x v="20"/>
    <x v="20"/>
    <x v="1220"/>
    <x v="0"/>
    <x v="311"/>
    <n v="429.55"/>
    <n v="429.55"/>
    <n v="0"/>
    <n v="1"/>
  </r>
  <r>
    <x v="3"/>
    <x v="0"/>
    <x v="20"/>
    <x v="20"/>
    <x v="1221"/>
    <x v="0"/>
    <x v="112"/>
    <n v="14113.96"/>
    <n v="14113.96"/>
    <n v="0"/>
    <n v="1"/>
  </r>
  <r>
    <x v="3"/>
    <x v="0"/>
    <x v="20"/>
    <x v="20"/>
    <x v="1222"/>
    <x v="6"/>
    <x v="438"/>
    <n v="-8602.56"/>
    <n v="-8602.56"/>
    <n v="0"/>
    <n v="1"/>
  </r>
  <r>
    <x v="3"/>
    <x v="0"/>
    <x v="20"/>
    <x v="20"/>
    <x v="1223"/>
    <x v="0"/>
    <x v="147"/>
    <n v="1226.48"/>
    <n v="1226.48"/>
    <n v="0"/>
    <n v="1"/>
  </r>
  <r>
    <x v="3"/>
    <x v="0"/>
    <x v="20"/>
    <x v="20"/>
    <x v="1224"/>
    <x v="0"/>
    <x v="253"/>
    <n v="2010.03"/>
    <n v="2010.03"/>
    <n v="0"/>
    <n v="1"/>
  </r>
  <r>
    <x v="3"/>
    <x v="0"/>
    <x v="20"/>
    <x v="20"/>
    <x v="1225"/>
    <x v="6"/>
    <x v="439"/>
    <n v="-16909.830000000002"/>
    <n v="-16909.830000000002"/>
    <n v="0"/>
    <n v="1"/>
  </r>
  <r>
    <x v="3"/>
    <x v="0"/>
    <x v="20"/>
    <x v="20"/>
    <x v="1226"/>
    <x v="0"/>
    <x v="334"/>
    <n v="2072.88"/>
    <n v="2072.88"/>
    <n v="0"/>
    <n v="1"/>
  </r>
  <r>
    <x v="3"/>
    <x v="0"/>
    <x v="20"/>
    <x v="20"/>
    <x v="1227"/>
    <x v="0"/>
    <x v="116"/>
    <n v="4085.1"/>
    <n v="4085.1"/>
    <n v="0"/>
    <n v="1"/>
  </r>
  <r>
    <x v="3"/>
    <x v="0"/>
    <x v="20"/>
    <x v="20"/>
    <x v="1228"/>
    <x v="0"/>
    <x v="250"/>
    <n v="4352.7299999999996"/>
    <n v="4352.7299999999996"/>
    <n v="0"/>
    <n v="1"/>
  </r>
  <r>
    <x v="3"/>
    <x v="0"/>
    <x v="20"/>
    <x v="20"/>
    <x v="1229"/>
    <x v="0"/>
    <x v="337"/>
    <n v="3814.36"/>
    <n v="3814.36"/>
    <n v="0"/>
    <n v="1"/>
  </r>
  <r>
    <x v="3"/>
    <x v="0"/>
    <x v="20"/>
    <x v="20"/>
    <x v="1230"/>
    <x v="0"/>
    <x v="105"/>
    <n v="6943.74"/>
    <n v="6943.74"/>
    <n v="0"/>
    <n v="1"/>
  </r>
  <r>
    <x v="3"/>
    <x v="0"/>
    <x v="20"/>
    <x v="20"/>
    <x v="1231"/>
    <x v="0"/>
    <x v="136"/>
    <n v="1023.79"/>
    <n v="1023.79"/>
    <n v="0"/>
    <n v="1"/>
  </r>
  <r>
    <x v="3"/>
    <x v="0"/>
    <x v="20"/>
    <x v="20"/>
    <x v="1232"/>
    <x v="0"/>
    <x v="206"/>
    <n v="875.69"/>
    <n v="875.69"/>
    <n v="0"/>
    <n v="1"/>
  </r>
  <r>
    <x v="3"/>
    <x v="0"/>
    <x v="20"/>
    <x v="20"/>
    <x v="1233"/>
    <x v="0"/>
    <x v="334"/>
    <n v="921.56"/>
    <n v="921.56"/>
    <n v="0"/>
    <n v="1"/>
  </r>
  <r>
    <x v="3"/>
    <x v="0"/>
    <x v="20"/>
    <x v="20"/>
    <x v="1234"/>
    <x v="0"/>
    <x v="241"/>
    <n v="1604.37"/>
    <n v="1604.37"/>
    <n v="0"/>
    <n v="1"/>
  </r>
  <r>
    <x v="3"/>
    <x v="0"/>
    <x v="20"/>
    <x v="20"/>
    <x v="1235"/>
    <x v="0"/>
    <x v="298"/>
    <n v="1832.85"/>
    <n v="1832.85"/>
    <n v="0"/>
    <n v="1"/>
  </r>
  <r>
    <x v="3"/>
    <x v="0"/>
    <x v="20"/>
    <x v="20"/>
    <x v="1236"/>
    <x v="0"/>
    <x v="440"/>
    <n v="2440.73"/>
    <n v="2440.73"/>
    <n v="0"/>
    <n v="1"/>
  </r>
  <r>
    <x v="3"/>
    <x v="0"/>
    <x v="20"/>
    <x v="20"/>
    <x v="1237"/>
    <x v="0"/>
    <x v="341"/>
    <n v="1201.45"/>
    <n v="1201.45"/>
    <n v="0"/>
    <n v="1"/>
  </r>
  <r>
    <x v="3"/>
    <x v="0"/>
    <x v="20"/>
    <x v="20"/>
    <x v="1238"/>
    <x v="0"/>
    <x v="91"/>
    <n v="9286.15"/>
    <n v="9286.15"/>
    <n v="0"/>
    <n v="1"/>
  </r>
  <r>
    <x v="3"/>
    <x v="0"/>
    <x v="20"/>
    <x v="20"/>
    <x v="1239"/>
    <x v="0"/>
    <x v="371"/>
    <n v="4561.6099999999997"/>
    <n v="4561.6099999999997"/>
    <n v="0"/>
    <n v="1"/>
  </r>
  <r>
    <x v="3"/>
    <x v="0"/>
    <x v="20"/>
    <x v="20"/>
    <x v="1240"/>
    <x v="0"/>
    <x v="242"/>
    <n v="3612.64"/>
    <n v="3612.64"/>
    <n v="0"/>
    <n v="1"/>
  </r>
  <r>
    <x v="3"/>
    <x v="0"/>
    <x v="20"/>
    <x v="20"/>
    <x v="1241"/>
    <x v="0"/>
    <x v="169"/>
    <n v="3482.29"/>
    <n v="3482.29"/>
    <n v="0"/>
    <n v="1"/>
  </r>
  <r>
    <x v="3"/>
    <x v="0"/>
    <x v="20"/>
    <x v="20"/>
    <x v="1242"/>
    <x v="0"/>
    <x v="134"/>
    <n v="2941.8"/>
    <n v="2941.8"/>
    <n v="0"/>
    <n v="1"/>
  </r>
  <r>
    <x v="3"/>
    <x v="0"/>
    <x v="20"/>
    <x v="20"/>
    <x v="1243"/>
    <x v="0"/>
    <x v="158"/>
    <n v="1746.02"/>
    <n v="1746.02"/>
    <n v="0"/>
    <n v="1"/>
  </r>
  <r>
    <x v="3"/>
    <x v="0"/>
    <x v="20"/>
    <x v="20"/>
    <x v="1244"/>
    <x v="0"/>
    <x v="152"/>
    <n v="2893.47"/>
    <n v="2893.47"/>
    <n v="0"/>
    <n v="1"/>
  </r>
  <r>
    <x v="3"/>
    <x v="0"/>
    <x v="20"/>
    <x v="20"/>
    <x v="1245"/>
    <x v="0"/>
    <x v="123"/>
    <n v="5452.53"/>
    <n v="5452.53"/>
    <n v="0"/>
    <n v="1"/>
  </r>
  <r>
    <x v="3"/>
    <x v="0"/>
    <x v="20"/>
    <x v="20"/>
    <x v="1246"/>
    <x v="0"/>
    <x v="393"/>
    <n v="2536.56"/>
    <n v="2536.56"/>
    <n v="0"/>
    <n v="1"/>
  </r>
  <r>
    <x v="3"/>
    <x v="0"/>
    <x v="20"/>
    <x v="20"/>
    <x v="1247"/>
    <x v="0"/>
    <x v="22"/>
    <n v="2176.2800000000002"/>
    <n v="2176.2800000000002"/>
    <n v="0"/>
    <n v="1"/>
  </r>
  <r>
    <x v="3"/>
    <x v="0"/>
    <x v="20"/>
    <x v="20"/>
    <x v="1248"/>
    <x v="0"/>
    <x v="77"/>
    <n v="1948.05"/>
    <n v="1948.05"/>
    <n v="0"/>
    <n v="1"/>
  </r>
  <r>
    <x v="3"/>
    <x v="0"/>
    <x v="20"/>
    <x v="20"/>
    <x v="1249"/>
    <x v="0"/>
    <x v="389"/>
    <n v="1002.64"/>
    <n v="1002.64"/>
    <n v="0"/>
    <n v="1"/>
  </r>
  <r>
    <x v="3"/>
    <x v="0"/>
    <x v="20"/>
    <x v="20"/>
    <x v="1250"/>
    <x v="0"/>
    <x v="441"/>
    <n v="1913.11"/>
    <n v="1913.11"/>
    <n v="0"/>
    <n v="1"/>
  </r>
  <r>
    <x v="3"/>
    <x v="0"/>
    <x v="20"/>
    <x v="20"/>
    <x v="1251"/>
    <x v="0"/>
    <x v="290"/>
    <n v="1896.32"/>
    <n v="1896.32"/>
    <n v="0"/>
    <n v="1"/>
  </r>
  <r>
    <x v="3"/>
    <x v="0"/>
    <x v="20"/>
    <x v="20"/>
    <x v="1252"/>
    <x v="0"/>
    <x v="187"/>
    <n v="2714.54"/>
    <n v="2714.54"/>
    <n v="0"/>
    <n v="1"/>
  </r>
  <r>
    <x v="3"/>
    <x v="0"/>
    <x v="21"/>
    <x v="21"/>
    <x v="1253"/>
    <x v="0"/>
    <x v="221"/>
    <n v="4739.12"/>
    <n v="4739.12"/>
    <n v="0"/>
    <n v="1"/>
  </r>
  <r>
    <x v="3"/>
    <x v="0"/>
    <x v="21"/>
    <x v="21"/>
    <x v="1254"/>
    <x v="0"/>
    <x v="1"/>
    <n v="215.44"/>
    <n v="215.44"/>
    <n v="0"/>
    <n v="1"/>
  </r>
  <r>
    <x v="3"/>
    <x v="0"/>
    <x v="21"/>
    <x v="21"/>
    <x v="1255"/>
    <x v="0"/>
    <x v="219"/>
    <n v="2929.42"/>
    <n v="2929.42"/>
    <n v="0"/>
    <n v="1"/>
  </r>
  <r>
    <x v="3"/>
    <x v="0"/>
    <x v="21"/>
    <x v="21"/>
    <x v="1256"/>
    <x v="0"/>
    <x v="340"/>
    <n v="7081.64"/>
    <n v="7081.64"/>
    <n v="0"/>
    <n v="1"/>
  </r>
  <r>
    <x v="3"/>
    <x v="0"/>
    <x v="21"/>
    <x v="21"/>
    <x v="1257"/>
    <x v="0"/>
    <x v="428"/>
    <n v="876.84"/>
    <n v="876.84"/>
    <n v="0"/>
    <n v="1"/>
  </r>
  <r>
    <x v="3"/>
    <x v="0"/>
    <x v="21"/>
    <x v="21"/>
    <x v="1258"/>
    <x v="0"/>
    <x v="257"/>
    <n v="599.04"/>
    <n v="599.04"/>
    <n v="0"/>
    <n v="1"/>
  </r>
  <r>
    <x v="3"/>
    <x v="0"/>
    <x v="21"/>
    <x v="21"/>
    <x v="1259"/>
    <x v="0"/>
    <x v="19"/>
    <n v="2236.12"/>
    <n v="2236.12"/>
    <n v="0"/>
    <n v="1"/>
  </r>
  <r>
    <x v="3"/>
    <x v="0"/>
    <x v="21"/>
    <x v="21"/>
    <x v="1260"/>
    <x v="0"/>
    <x v="442"/>
    <n v="1036.1300000000001"/>
    <n v="1036.1300000000001"/>
    <n v="0"/>
    <n v="1"/>
  </r>
  <r>
    <x v="3"/>
    <x v="0"/>
    <x v="21"/>
    <x v="21"/>
    <x v="1261"/>
    <x v="0"/>
    <x v="84"/>
    <n v="1896.95"/>
    <n v="1896.95"/>
    <n v="0"/>
    <n v="1"/>
  </r>
  <r>
    <x v="3"/>
    <x v="0"/>
    <x v="21"/>
    <x v="21"/>
    <x v="1262"/>
    <x v="0"/>
    <x v="271"/>
    <n v="3109.25"/>
    <n v="3109.25"/>
    <n v="0"/>
    <n v="1"/>
  </r>
  <r>
    <x v="3"/>
    <x v="0"/>
    <x v="21"/>
    <x v="21"/>
    <x v="1263"/>
    <x v="0"/>
    <x v="95"/>
    <n v="5912.03"/>
    <n v="5912.03"/>
    <n v="0"/>
    <n v="1"/>
  </r>
  <r>
    <x v="3"/>
    <x v="0"/>
    <x v="21"/>
    <x v="21"/>
    <x v="1264"/>
    <x v="0"/>
    <x v="442"/>
    <n v="1285.67"/>
    <n v="1285.67"/>
    <n v="0"/>
    <n v="1"/>
  </r>
  <r>
    <x v="3"/>
    <x v="0"/>
    <x v="21"/>
    <x v="21"/>
    <x v="1265"/>
    <x v="0"/>
    <x v="177"/>
    <n v="469.34"/>
    <n v="469.34"/>
    <n v="0"/>
    <n v="1"/>
  </r>
  <r>
    <x v="3"/>
    <x v="0"/>
    <x v="21"/>
    <x v="21"/>
    <x v="1266"/>
    <x v="0"/>
    <x v="289"/>
    <n v="1450.4"/>
    <n v="1450.4"/>
    <n v="0"/>
    <n v="1"/>
  </r>
  <r>
    <x v="3"/>
    <x v="0"/>
    <x v="21"/>
    <x v="21"/>
    <x v="1267"/>
    <x v="0"/>
    <x v="124"/>
    <n v="8911.2099999999991"/>
    <n v="8911.2099999999991"/>
    <n v="0"/>
    <n v="1"/>
  </r>
  <r>
    <x v="3"/>
    <x v="0"/>
    <x v="21"/>
    <x v="21"/>
    <x v="1268"/>
    <x v="0"/>
    <x v="105"/>
    <n v="3802.6"/>
    <n v="3802.6"/>
    <n v="0"/>
    <n v="1"/>
  </r>
  <r>
    <x v="3"/>
    <x v="0"/>
    <x v="21"/>
    <x v="21"/>
    <x v="1269"/>
    <x v="0"/>
    <x v="108"/>
    <n v="14109.43"/>
    <n v="14109.43"/>
    <n v="0"/>
    <n v="1"/>
  </r>
  <r>
    <x v="3"/>
    <x v="0"/>
    <x v="21"/>
    <x v="21"/>
    <x v="1270"/>
    <x v="0"/>
    <x v="8"/>
    <n v="7532.01"/>
    <n v="7532.01"/>
    <n v="0"/>
    <n v="1"/>
  </r>
  <r>
    <x v="3"/>
    <x v="0"/>
    <x v="21"/>
    <x v="21"/>
    <x v="1271"/>
    <x v="0"/>
    <x v="147"/>
    <n v="920.3"/>
    <n v="920.3"/>
    <n v="0"/>
    <n v="1"/>
  </r>
  <r>
    <x v="3"/>
    <x v="0"/>
    <x v="21"/>
    <x v="21"/>
    <x v="1272"/>
    <x v="0"/>
    <x v="157"/>
    <n v="1610.74"/>
    <n v="1610.74"/>
    <n v="0"/>
    <n v="1"/>
  </r>
  <r>
    <x v="3"/>
    <x v="0"/>
    <x v="21"/>
    <x v="21"/>
    <x v="1273"/>
    <x v="0"/>
    <x v="443"/>
    <n v="5152.4799999999996"/>
    <n v="5152.4799999999996"/>
    <n v="0"/>
    <n v="1"/>
  </r>
  <r>
    <x v="3"/>
    <x v="0"/>
    <x v="21"/>
    <x v="21"/>
    <x v="1274"/>
    <x v="0"/>
    <x v="97"/>
    <n v="20278.39"/>
    <n v="20278.39"/>
    <n v="0"/>
    <n v="1"/>
  </r>
  <r>
    <x v="3"/>
    <x v="0"/>
    <x v="21"/>
    <x v="21"/>
    <x v="1275"/>
    <x v="0"/>
    <x v="90"/>
    <n v="7044.56"/>
    <n v="7044.56"/>
    <n v="0"/>
    <n v="1"/>
  </r>
  <r>
    <x v="3"/>
    <x v="0"/>
    <x v="21"/>
    <x v="21"/>
    <x v="1276"/>
    <x v="0"/>
    <x v="113"/>
    <n v="4659.3900000000003"/>
    <n v="4659.3900000000003"/>
    <n v="0"/>
    <n v="1"/>
  </r>
  <r>
    <x v="3"/>
    <x v="0"/>
    <x v="21"/>
    <x v="21"/>
    <x v="1277"/>
    <x v="0"/>
    <x v="45"/>
    <n v="5089.95"/>
    <n v="5089.95"/>
    <n v="0"/>
    <n v="1"/>
  </r>
  <r>
    <x v="3"/>
    <x v="0"/>
    <x v="21"/>
    <x v="21"/>
    <x v="1278"/>
    <x v="0"/>
    <x v="13"/>
    <n v="3933.52"/>
    <n v="3933.52"/>
    <n v="0"/>
    <n v="1"/>
  </r>
  <r>
    <x v="3"/>
    <x v="0"/>
    <x v="21"/>
    <x v="21"/>
    <x v="1279"/>
    <x v="0"/>
    <x v="90"/>
    <n v="14242.44"/>
    <n v="14242.44"/>
    <n v="0"/>
    <n v="1"/>
  </r>
  <r>
    <x v="3"/>
    <x v="0"/>
    <x v="21"/>
    <x v="21"/>
    <x v="1280"/>
    <x v="0"/>
    <x v="103"/>
    <n v="3463.43"/>
    <n v="3463.43"/>
    <n v="0"/>
    <n v="1"/>
  </r>
  <r>
    <x v="3"/>
    <x v="0"/>
    <x v="21"/>
    <x v="21"/>
    <x v="1281"/>
    <x v="0"/>
    <x v="105"/>
    <n v="11714.47"/>
    <n v="11714.47"/>
    <n v="0"/>
    <n v="1"/>
  </r>
  <r>
    <x v="3"/>
    <x v="0"/>
    <x v="21"/>
    <x v="21"/>
    <x v="1282"/>
    <x v="0"/>
    <x v="30"/>
    <n v="4434.9399999999996"/>
    <n v="4434.9399999999996"/>
    <n v="0"/>
    <n v="1"/>
  </r>
  <r>
    <x v="3"/>
    <x v="0"/>
    <x v="21"/>
    <x v="21"/>
    <x v="1283"/>
    <x v="0"/>
    <x v="45"/>
    <n v="3881"/>
    <n v="3881"/>
    <n v="0"/>
    <n v="1"/>
  </r>
  <r>
    <x v="3"/>
    <x v="0"/>
    <x v="21"/>
    <x v="21"/>
    <x v="1284"/>
    <x v="0"/>
    <x v="107"/>
    <n v="15137.49"/>
    <n v="15137.49"/>
    <n v="0"/>
    <n v="1"/>
  </r>
  <r>
    <x v="3"/>
    <x v="0"/>
    <x v="21"/>
    <x v="21"/>
    <x v="1285"/>
    <x v="0"/>
    <x v="156"/>
    <n v="4336.46"/>
    <n v="4336.46"/>
    <n v="0"/>
    <n v="1"/>
  </r>
  <r>
    <x v="3"/>
    <x v="0"/>
    <x v="22"/>
    <x v="22"/>
    <x v="1286"/>
    <x v="0"/>
    <x v="158"/>
    <n v="2640.29"/>
    <n v="2640.29"/>
    <n v="0"/>
    <n v="1"/>
  </r>
  <r>
    <x v="3"/>
    <x v="0"/>
    <x v="22"/>
    <x v="22"/>
    <x v="1287"/>
    <x v="0"/>
    <x v="153"/>
    <n v="3047.54"/>
    <n v="3047.54"/>
    <n v="0"/>
    <n v="1"/>
  </r>
  <r>
    <x v="3"/>
    <x v="0"/>
    <x v="22"/>
    <x v="22"/>
    <x v="1288"/>
    <x v="0"/>
    <x v="389"/>
    <n v="2867.41"/>
    <n v="2867.41"/>
    <n v="0"/>
    <n v="1"/>
  </r>
  <r>
    <x v="3"/>
    <x v="0"/>
    <x v="22"/>
    <x v="22"/>
    <x v="1289"/>
    <x v="0"/>
    <x v="154"/>
    <n v="3050.14"/>
    <n v="3050.14"/>
    <n v="0"/>
    <n v="1"/>
  </r>
  <r>
    <x v="3"/>
    <x v="0"/>
    <x v="22"/>
    <x v="22"/>
    <x v="1290"/>
    <x v="0"/>
    <x v="444"/>
    <n v="1204.48"/>
    <n v="1204.48"/>
    <n v="0"/>
    <n v="1"/>
  </r>
  <r>
    <x v="3"/>
    <x v="0"/>
    <x v="22"/>
    <x v="22"/>
    <x v="1291"/>
    <x v="0"/>
    <x v="292"/>
    <n v="2478.61"/>
    <n v="2478.61"/>
    <n v="0"/>
    <n v="1"/>
  </r>
  <r>
    <x v="3"/>
    <x v="0"/>
    <x v="22"/>
    <x v="22"/>
    <x v="1292"/>
    <x v="0"/>
    <x v="237"/>
    <n v="4970.2"/>
    <n v="4970.2"/>
    <n v="0"/>
    <n v="1"/>
  </r>
  <r>
    <x v="3"/>
    <x v="0"/>
    <x v="22"/>
    <x v="22"/>
    <x v="1293"/>
    <x v="0"/>
    <x v="32"/>
    <n v="2399.02"/>
    <n v="2399.02"/>
    <n v="0"/>
    <n v="1"/>
  </r>
  <r>
    <x v="3"/>
    <x v="0"/>
    <x v="22"/>
    <x v="22"/>
    <x v="1294"/>
    <x v="0"/>
    <x v="271"/>
    <n v="2052.7800000000002"/>
    <n v="2052.7800000000002"/>
    <n v="0"/>
    <n v="1"/>
  </r>
  <r>
    <x v="3"/>
    <x v="0"/>
    <x v="22"/>
    <x v="22"/>
    <x v="1295"/>
    <x v="0"/>
    <x v="22"/>
    <n v="2386.0500000000002"/>
    <n v="2386.0500000000002"/>
    <n v="0"/>
    <n v="1"/>
  </r>
  <r>
    <x v="3"/>
    <x v="0"/>
    <x v="22"/>
    <x v="22"/>
    <x v="1296"/>
    <x v="0"/>
    <x v="198"/>
    <n v="1834.8"/>
    <n v="1834.8"/>
    <n v="0"/>
    <n v="1"/>
  </r>
  <r>
    <x v="3"/>
    <x v="0"/>
    <x v="22"/>
    <x v="22"/>
    <x v="1297"/>
    <x v="0"/>
    <x v="47"/>
    <n v="1115.2"/>
    <n v="1115.2"/>
    <n v="0"/>
    <n v="1"/>
  </r>
  <r>
    <x v="3"/>
    <x v="0"/>
    <x v="22"/>
    <x v="22"/>
    <x v="1298"/>
    <x v="0"/>
    <x v="172"/>
    <n v="2558.31"/>
    <n v="2558.31"/>
    <n v="0"/>
    <n v="1"/>
  </r>
  <r>
    <x v="3"/>
    <x v="0"/>
    <x v="22"/>
    <x v="22"/>
    <x v="1299"/>
    <x v="0"/>
    <x v="445"/>
    <n v="825.02"/>
    <n v="825.02"/>
    <n v="0"/>
    <n v="1"/>
  </r>
  <r>
    <x v="3"/>
    <x v="0"/>
    <x v="22"/>
    <x v="22"/>
    <x v="1300"/>
    <x v="0"/>
    <x v="249"/>
    <n v="6521.01"/>
    <n v="6521.01"/>
    <n v="0"/>
    <n v="1"/>
  </r>
  <r>
    <x v="3"/>
    <x v="0"/>
    <x v="22"/>
    <x v="22"/>
    <x v="1301"/>
    <x v="0"/>
    <x v="181"/>
    <n v="2446.7399999999998"/>
    <n v="2446.7399999999998"/>
    <n v="0"/>
    <n v="1"/>
  </r>
  <r>
    <x v="3"/>
    <x v="0"/>
    <x v="22"/>
    <x v="22"/>
    <x v="1302"/>
    <x v="0"/>
    <x v="170"/>
    <n v="1096.06"/>
    <n v="1096.06"/>
    <n v="0"/>
    <n v="1"/>
  </r>
  <r>
    <x v="3"/>
    <x v="0"/>
    <x v="22"/>
    <x v="22"/>
    <x v="1303"/>
    <x v="0"/>
    <x v="105"/>
    <n v="8357.34"/>
    <n v="8357.34"/>
    <n v="0"/>
    <n v="1"/>
  </r>
  <r>
    <x v="3"/>
    <x v="0"/>
    <x v="22"/>
    <x v="22"/>
    <x v="1304"/>
    <x v="0"/>
    <x v="368"/>
    <n v="2253.15"/>
    <n v="2253.15"/>
    <n v="0"/>
    <n v="1"/>
  </r>
  <r>
    <x v="3"/>
    <x v="0"/>
    <x v="22"/>
    <x v="22"/>
    <x v="1305"/>
    <x v="0"/>
    <x v="340"/>
    <n v="4679.67"/>
    <n v="4679.67"/>
    <n v="0"/>
    <n v="1"/>
  </r>
  <r>
    <x v="3"/>
    <x v="0"/>
    <x v="22"/>
    <x v="22"/>
    <x v="1306"/>
    <x v="0"/>
    <x v="183"/>
    <n v="1401.18"/>
    <n v="1401.18"/>
    <n v="0"/>
    <n v="1"/>
  </r>
  <r>
    <x v="3"/>
    <x v="0"/>
    <x v="22"/>
    <x v="22"/>
    <x v="1307"/>
    <x v="0"/>
    <x v="92"/>
    <n v="8655.82"/>
    <n v="8655.82"/>
    <n v="0"/>
    <n v="1"/>
  </r>
  <r>
    <x v="3"/>
    <x v="0"/>
    <x v="22"/>
    <x v="22"/>
    <x v="1308"/>
    <x v="0"/>
    <x v="120"/>
    <n v="5303.64"/>
    <n v="5303.64"/>
    <n v="0"/>
    <n v="1"/>
  </r>
  <r>
    <x v="3"/>
    <x v="0"/>
    <x v="22"/>
    <x v="22"/>
    <x v="1309"/>
    <x v="0"/>
    <x v="206"/>
    <n v="2906.44"/>
    <n v="2906.44"/>
    <n v="0"/>
    <n v="1"/>
  </r>
  <r>
    <x v="3"/>
    <x v="0"/>
    <x v="22"/>
    <x v="22"/>
    <x v="1310"/>
    <x v="0"/>
    <x v="17"/>
    <n v="2363.04"/>
    <n v="2363.04"/>
    <n v="0"/>
    <n v="1"/>
  </r>
  <r>
    <x v="3"/>
    <x v="0"/>
    <x v="22"/>
    <x v="22"/>
    <x v="1311"/>
    <x v="0"/>
    <x v="87"/>
    <n v="1045.68"/>
    <n v="1045.68"/>
    <n v="0"/>
    <n v="1"/>
  </r>
  <r>
    <x v="3"/>
    <x v="0"/>
    <x v="22"/>
    <x v="22"/>
    <x v="1312"/>
    <x v="0"/>
    <x v="15"/>
    <n v="2486.3000000000002"/>
    <n v="2486.3000000000002"/>
    <n v="0"/>
    <n v="1"/>
  </r>
  <r>
    <x v="3"/>
    <x v="0"/>
    <x v="22"/>
    <x v="22"/>
    <x v="1313"/>
    <x v="0"/>
    <x v="446"/>
    <n v="1881.27"/>
    <n v="1881.27"/>
    <n v="0"/>
    <n v="1"/>
  </r>
  <r>
    <x v="3"/>
    <x v="0"/>
    <x v="22"/>
    <x v="22"/>
    <x v="1314"/>
    <x v="0"/>
    <x v="31"/>
    <n v="3232.5"/>
    <n v="3232.5"/>
    <n v="0"/>
    <n v="1"/>
  </r>
  <r>
    <x v="3"/>
    <x v="0"/>
    <x v="22"/>
    <x v="22"/>
    <x v="1315"/>
    <x v="0"/>
    <x v="82"/>
    <n v="2417.9699999999998"/>
    <n v="2417.9699999999998"/>
    <n v="0"/>
    <n v="1"/>
  </r>
  <r>
    <x v="3"/>
    <x v="0"/>
    <x v="22"/>
    <x v="22"/>
    <x v="1316"/>
    <x v="0"/>
    <x v="254"/>
    <n v="3339.14"/>
    <n v="3339.14"/>
    <n v="0"/>
    <n v="1"/>
  </r>
  <r>
    <x v="3"/>
    <x v="0"/>
    <x v="22"/>
    <x v="22"/>
    <x v="1317"/>
    <x v="0"/>
    <x v="447"/>
    <n v="1695.06"/>
    <n v="1695.06"/>
    <n v="0"/>
    <n v="1"/>
  </r>
  <r>
    <x v="3"/>
    <x v="0"/>
    <x v="22"/>
    <x v="22"/>
    <x v="1318"/>
    <x v="0"/>
    <x v="94"/>
    <n v="16620.86"/>
    <n v="16620.86"/>
    <n v="0"/>
    <n v="1"/>
  </r>
  <r>
    <x v="3"/>
    <x v="0"/>
    <x v="22"/>
    <x v="22"/>
    <x v="1319"/>
    <x v="6"/>
    <x v="448"/>
    <n v="-9940.1200000000008"/>
    <n v="-9940.1200000000008"/>
    <n v="0"/>
    <n v="1"/>
  </r>
  <r>
    <x v="3"/>
    <x v="0"/>
    <x v="22"/>
    <x v="22"/>
    <x v="1320"/>
    <x v="6"/>
    <x v="449"/>
    <n v="-57172.99"/>
    <n v="-57172.99"/>
    <n v="0"/>
    <n v="1"/>
  </r>
  <r>
    <x v="3"/>
    <x v="0"/>
    <x v="22"/>
    <x v="22"/>
    <x v="1321"/>
    <x v="6"/>
    <x v="450"/>
    <n v="-17044.14"/>
    <n v="-17044.14"/>
    <n v="0"/>
    <n v="1"/>
  </r>
  <r>
    <x v="3"/>
    <x v="0"/>
    <x v="22"/>
    <x v="22"/>
    <x v="1322"/>
    <x v="0"/>
    <x v="37"/>
    <n v="5418.46"/>
    <n v="5418.46"/>
    <n v="0"/>
    <n v="1"/>
  </r>
  <r>
    <x v="3"/>
    <x v="0"/>
    <x v="22"/>
    <x v="22"/>
    <x v="1323"/>
    <x v="6"/>
    <x v="451"/>
    <n v="-209000.4"/>
    <n v="-209000.4"/>
    <n v="0"/>
    <n v="1"/>
  </r>
  <r>
    <x v="3"/>
    <x v="0"/>
    <x v="22"/>
    <x v="22"/>
    <x v="1324"/>
    <x v="6"/>
    <x v="452"/>
    <n v="-10856"/>
    <n v="-10856"/>
    <n v="0"/>
    <n v="1"/>
  </r>
  <r>
    <x v="3"/>
    <x v="0"/>
    <x v="22"/>
    <x v="22"/>
    <x v="1325"/>
    <x v="0"/>
    <x v="195"/>
    <n v="1362.16"/>
    <n v="1362.16"/>
    <n v="0"/>
    <n v="1"/>
  </r>
  <r>
    <x v="3"/>
    <x v="0"/>
    <x v="22"/>
    <x v="22"/>
    <x v="1326"/>
    <x v="0"/>
    <x v="169"/>
    <n v="3138.84"/>
    <n v="3138.84"/>
    <n v="0"/>
    <n v="1"/>
  </r>
  <r>
    <x v="3"/>
    <x v="0"/>
    <x v="22"/>
    <x v="22"/>
    <x v="1327"/>
    <x v="6"/>
    <x v="453"/>
    <n v="-9505.3700000000008"/>
    <n v="-9505.3700000000008"/>
    <n v="0"/>
    <n v="1"/>
  </r>
  <r>
    <x v="3"/>
    <x v="0"/>
    <x v="22"/>
    <x v="22"/>
    <x v="1328"/>
    <x v="6"/>
    <x v="454"/>
    <n v="-8748.6299999999992"/>
    <n v="-8748.6299999999992"/>
    <n v="0"/>
    <n v="1"/>
  </r>
  <r>
    <x v="3"/>
    <x v="0"/>
    <x v="22"/>
    <x v="22"/>
    <x v="1329"/>
    <x v="6"/>
    <x v="455"/>
    <n v="-6314.39"/>
    <n v="-6314.39"/>
    <n v="0"/>
    <n v="1"/>
  </r>
  <r>
    <x v="3"/>
    <x v="0"/>
    <x v="22"/>
    <x v="22"/>
    <x v="1330"/>
    <x v="0"/>
    <x v="456"/>
    <n v="717.06"/>
    <n v="717.06"/>
    <n v="0"/>
    <n v="1"/>
  </r>
  <r>
    <x v="3"/>
    <x v="0"/>
    <x v="22"/>
    <x v="22"/>
    <x v="1331"/>
    <x v="0"/>
    <x v="360"/>
    <n v="4560.92"/>
    <n v="4560.92"/>
    <n v="0"/>
    <n v="1"/>
  </r>
  <r>
    <x v="3"/>
    <x v="0"/>
    <x v="22"/>
    <x v="22"/>
    <x v="1332"/>
    <x v="0"/>
    <x v="166"/>
    <n v="826.61"/>
    <n v="826.61"/>
    <n v="0"/>
    <n v="1"/>
  </r>
  <r>
    <x v="3"/>
    <x v="0"/>
    <x v="22"/>
    <x v="22"/>
    <x v="1333"/>
    <x v="0"/>
    <x v="187"/>
    <n v="993.05"/>
    <n v="993.05"/>
    <n v="0"/>
    <n v="1"/>
  </r>
  <r>
    <x v="3"/>
    <x v="0"/>
    <x v="22"/>
    <x v="22"/>
    <x v="1334"/>
    <x v="0"/>
    <x v="230"/>
    <n v="1308.07"/>
    <n v="1308.07"/>
    <n v="0"/>
    <n v="1"/>
  </r>
  <r>
    <x v="3"/>
    <x v="0"/>
    <x v="22"/>
    <x v="22"/>
    <x v="1335"/>
    <x v="0"/>
    <x v="26"/>
    <n v="1236.3800000000001"/>
    <n v="1236.3800000000001"/>
    <n v="0"/>
    <n v="1"/>
  </r>
  <r>
    <x v="3"/>
    <x v="0"/>
    <x v="22"/>
    <x v="22"/>
    <x v="1336"/>
    <x v="0"/>
    <x v="40"/>
    <n v="6279.45"/>
    <n v="6279.45"/>
    <n v="0"/>
    <n v="1"/>
  </r>
  <r>
    <x v="3"/>
    <x v="0"/>
    <x v="22"/>
    <x v="22"/>
    <x v="1337"/>
    <x v="0"/>
    <x v="143"/>
    <n v="914.66"/>
    <n v="914.66"/>
    <n v="0"/>
    <n v="1"/>
  </r>
  <r>
    <x v="3"/>
    <x v="0"/>
    <x v="22"/>
    <x v="22"/>
    <x v="1338"/>
    <x v="0"/>
    <x v="99"/>
    <n v="5123.95"/>
    <n v="5123.95"/>
    <n v="0"/>
    <n v="1"/>
  </r>
  <r>
    <x v="3"/>
    <x v="0"/>
    <x v="22"/>
    <x v="22"/>
    <x v="1339"/>
    <x v="0"/>
    <x v="90"/>
    <n v="2751.57"/>
    <n v="2751.57"/>
    <n v="0"/>
    <n v="1"/>
  </r>
  <r>
    <x v="3"/>
    <x v="0"/>
    <x v="22"/>
    <x v="22"/>
    <x v="1340"/>
    <x v="0"/>
    <x v="45"/>
    <n v="2274.75"/>
    <n v="2274.75"/>
    <n v="0"/>
    <n v="1"/>
  </r>
  <r>
    <x v="3"/>
    <x v="0"/>
    <x v="22"/>
    <x v="22"/>
    <x v="1341"/>
    <x v="0"/>
    <x v="126"/>
    <n v="1236.6300000000001"/>
    <n v="1236.6300000000001"/>
    <n v="0"/>
    <n v="1"/>
  </r>
  <r>
    <x v="3"/>
    <x v="0"/>
    <x v="22"/>
    <x v="22"/>
    <x v="1342"/>
    <x v="0"/>
    <x v="185"/>
    <n v="1043.5999999999999"/>
    <n v="1043.5999999999999"/>
    <n v="0"/>
    <n v="1"/>
  </r>
  <r>
    <x v="3"/>
    <x v="0"/>
    <x v="22"/>
    <x v="22"/>
    <x v="1343"/>
    <x v="0"/>
    <x v="457"/>
    <n v="1108.04"/>
    <n v="1108.04"/>
    <n v="0"/>
    <n v="1"/>
  </r>
  <r>
    <x v="3"/>
    <x v="0"/>
    <x v="22"/>
    <x v="22"/>
    <x v="1344"/>
    <x v="6"/>
    <x v="458"/>
    <n v="-172741.52"/>
    <n v="-172741.52"/>
    <n v="0"/>
    <n v="1"/>
  </r>
  <r>
    <x v="3"/>
    <x v="2"/>
    <x v="23"/>
    <x v="3"/>
    <x v="1345"/>
    <x v="5"/>
    <x v="11"/>
    <n v="643.95000000000005"/>
    <n v="643.95000000000005"/>
    <n v="0"/>
    <n v="1"/>
  </r>
  <r>
    <x v="3"/>
    <x v="0"/>
    <x v="23"/>
    <x v="3"/>
    <x v="1346"/>
    <x v="0"/>
    <x v="328"/>
    <n v="756.49"/>
    <n v="756.49"/>
    <n v="0"/>
    <n v="1"/>
  </r>
  <r>
    <x v="3"/>
    <x v="0"/>
    <x v="23"/>
    <x v="3"/>
    <x v="1347"/>
    <x v="0"/>
    <x v="81"/>
    <n v="801.78"/>
    <n v="801.78"/>
    <n v="0"/>
    <n v="1"/>
  </r>
  <r>
    <x v="3"/>
    <x v="0"/>
    <x v="23"/>
    <x v="3"/>
    <x v="1348"/>
    <x v="0"/>
    <x v="360"/>
    <n v="2471.52"/>
    <n v="2471.52"/>
    <n v="0"/>
    <n v="1"/>
  </r>
  <r>
    <x v="3"/>
    <x v="0"/>
    <x v="23"/>
    <x v="3"/>
    <x v="1349"/>
    <x v="0"/>
    <x v="143"/>
    <n v="464.52"/>
    <n v="464.52"/>
    <n v="0"/>
    <n v="1"/>
  </r>
  <r>
    <x v="3"/>
    <x v="0"/>
    <x v="23"/>
    <x v="3"/>
    <x v="1350"/>
    <x v="0"/>
    <x v="101"/>
    <n v="6124.62"/>
    <n v="6124.62"/>
    <n v="0"/>
    <n v="1"/>
  </r>
  <r>
    <x v="3"/>
    <x v="0"/>
    <x v="23"/>
    <x v="3"/>
    <x v="1351"/>
    <x v="0"/>
    <x v="97"/>
    <n v="13749.49"/>
    <n v="13749.49"/>
    <n v="0"/>
    <n v="1"/>
  </r>
  <r>
    <x v="3"/>
    <x v="0"/>
    <x v="23"/>
    <x v="3"/>
    <x v="1352"/>
    <x v="0"/>
    <x v="380"/>
    <n v="2950.72"/>
    <n v="2950.72"/>
    <n v="0"/>
    <n v="1"/>
  </r>
  <r>
    <x v="3"/>
    <x v="0"/>
    <x v="23"/>
    <x v="3"/>
    <x v="1353"/>
    <x v="0"/>
    <x v="230"/>
    <n v="1266.4000000000001"/>
    <n v="1266.4000000000001"/>
    <n v="0"/>
    <n v="1"/>
  </r>
  <r>
    <x v="3"/>
    <x v="0"/>
    <x v="23"/>
    <x v="3"/>
    <x v="1354"/>
    <x v="0"/>
    <x v="9"/>
    <n v="2219.48"/>
    <n v="2219.48"/>
    <n v="0"/>
    <n v="1"/>
  </r>
  <r>
    <x v="3"/>
    <x v="0"/>
    <x v="23"/>
    <x v="3"/>
    <x v="1355"/>
    <x v="0"/>
    <x v="13"/>
    <n v="6324.34"/>
    <n v="6324.34"/>
    <n v="0"/>
    <n v="1"/>
  </r>
  <r>
    <x v="3"/>
    <x v="0"/>
    <x v="23"/>
    <x v="3"/>
    <x v="1356"/>
    <x v="0"/>
    <x v="14"/>
    <n v="2060.08"/>
    <n v="2060.08"/>
    <n v="0"/>
    <n v="1"/>
  </r>
  <r>
    <x v="3"/>
    <x v="0"/>
    <x v="23"/>
    <x v="3"/>
    <x v="1357"/>
    <x v="0"/>
    <x v="113"/>
    <n v="4449.05"/>
    <n v="4449.05"/>
    <n v="0"/>
    <n v="1"/>
  </r>
  <r>
    <x v="3"/>
    <x v="0"/>
    <x v="23"/>
    <x v="3"/>
    <x v="1358"/>
    <x v="0"/>
    <x v="105"/>
    <n v="7268.82"/>
    <n v="7268.82"/>
    <n v="0"/>
    <n v="1"/>
  </r>
  <r>
    <x v="3"/>
    <x v="0"/>
    <x v="23"/>
    <x v="3"/>
    <x v="1359"/>
    <x v="0"/>
    <x v="105"/>
    <n v="9116.7800000000007"/>
    <n v="9116.7800000000007"/>
    <n v="0"/>
    <n v="1"/>
  </r>
  <r>
    <x v="3"/>
    <x v="0"/>
    <x v="23"/>
    <x v="3"/>
    <x v="1360"/>
    <x v="0"/>
    <x v="298"/>
    <n v="2684.71"/>
    <n v="2684.71"/>
    <n v="0"/>
    <n v="1"/>
  </r>
  <r>
    <x v="3"/>
    <x v="0"/>
    <x v="23"/>
    <x v="3"/>
    <x v="1361"/>
    <x v="0"/>
    <x v="74"/>
    <n v="1033.5899999999999"/>
    <n v="1033.5899999999999"/>
    <n v="0"/>
    <n v="1"/>
  </r>
  <r>
    <x v="3"/>
    <x v="0"/>
    <x v="23"/>
    <x v="3"/>
    <x v="1362"/>
    <x v="0"/>
    <x v="122"/>
    <n v="4811"/>
    <n v="4811"/>
    <n v="0"/>
    <n v="1"/>
  </r>
  <r>
    <x v="3"/>
    <x v="0"/>
    <x v="23"/>
    <x v="3"/>
    <x v="1363"/>
    <x v="0"/>
    <x v="89"/>
    <n v="3854.08"/>
    <n v="3854.08"/>
    <n v="0"/>
    <n v="1"/>
  </r>
  <r>
    <x v="3"/>
    <x v="0"/>
    <x v="23"/>
    <x v="3"/>
    <x v="1364"/>
    <x v="0"/>
    <x v="254"/>
    <n v="1472.77"/>
    <n v="1472.77"/>
    <n v="0"/>
    <n v="1"/>
  </r>
  <r>
    <x v="3"/>
    <x v="0"/>
    <x v="23"/>
    <x v="3"/>
    <x v="1365"/>
    <x v="0"/>
    <x v="98"/>
    <n v="6912.02"/>
    <n v="6912.02"/>
    <n v="0"/>
    <n v="1"/>
  </r>
  <r>
    <x v="3"/>
    <x v="0"/>
    <x v="23"/>
    <x v="3"/>
    <x v="1366"/>
    <x v="0"/>
    <x v="71"/>
    <n v="3110.81"/>
    <n v="3110.81"/>
    <n v="0"/>
    <n v="1"/>
  </r>
  <r>
    <x v="3"/>
    <x v="0"/>
    <x v="23"/>
    <x v="3"/>
    <x v="1367"/>
    <x v="0"/>
    <x v="409"/>
    <n v="1344.9"/>
    <n v="1344.9"/>
    <n v="0"/>
    <n v="1"/>
  </r>
  <r>
    <x v="3"/>
    <x v="0"/>
    <x v="23"/>
    <x v="3"/>
    <x v="1368"/>
    <x v="0"/>
    <x v="42"/>
    <n v="618.30999999999995"/>
    <n v="618.30999999999995"/>
    <n v="0"/>
    <n v="1"/>
  </r>
  <r>
    <x v="3"/>
    <x v="0"/>
    <x v="23"/>
    <x v="3"/>
    <x v="1369"/>
    <x v="0"/>
    <x v="282"/>
    <n v="1592.83"/>
    <n v="1592.83"/>
    <n v="0"/>
    <n v="1"/>
  </r>
  <r>
    <x v="3"/>
    <x v="0"/>
    <x v="23"/>
    <x v="3"/>
    <x v="1370"/>
    <x v="0"/>
    <x v="19"/>
    <n v="2453.4299999999998"/>
    <n v="2453.4299999999998"/>
    <n v="0"/>
    <n v="1"/>
  </r>
  <r>
    <x v="3"/>
    <x v="0"/>
    <x v="23"/>
    <x v="3"/>
    <x v="1371"/>
    <x v="0"/>
    <x v="294"/>
    <n v="2267.83"/>
    <n v="2267.83"/>
    <n v="0"/>
    <n v="1"/>
  </r>
  <r>
    <x v="3"/>
    <x v="0"/>
    <x v="23"/>
    <x v="3"/>
    <x v="1372"/>
    <x v="0"/>
    <x v="271"/>
    <n v="2509.52"/>
    <n v="2509.52"/>
    <n v="0"/>
    <n v="1"/>
  </r>
  <r>
    <x v="3"/>
    <x v="0"/>
    <x v="23"/>
    <x v="3"/>
    <x v="1373"/>
    <x v="0"/>
    <x v="17"/>
    <n v="1117.69"/>
    <n v="1117.69"/>
    <n v="0"/>
    <n v="1"/>
  </r>
  <r>
    <x v="3"/>
    <x v="0"/>
    <x v="23"/>
    <x v="3"/>
    <x v="1374"/>
    <x v="0"/>
    <x v="151"/>
    <n v="391.37"/>
    <n v="391.37"/>
    <n v="0"/>
    <n v="1"/>
  </r>
  <r>
    <x v="3"/>
    <x v="0"/>
    <x v="23"/>
    <x v="3"/>
    <x v="1375"/>
    <x v="0"/>
    <x v="398"/>
    <n v="1162.1400000000001"/>
    <n v="1162.1400000000001"/>
    <n v="0"/>
    <n v="1"/>
  </r>
  <r>
    <x v="3"/>
    <x v="0"/>
    <x v="23"/>
    <x v="3"/>
    <x v="1376"/>
    <x v="0"/>
    <x v="135"/>
    <n v="853.28"/>
    <n v="853.28"/>
    <n v="0"/>
    <n v="1"/>
  </r>
  <r>
    <x v="3"/>
    <x v="0"/>
    <x v="23"/>
    <x v="3"/>
    <x v="1377"/>
    <x v="0"/>
    <x v="328"/>
    <n v="307.39999999999998"/>
    <n v="307.39999999999998"/>
    <n v="0"/>
    <n v="1"/>
  </r>
  <r>
    <x v="3"/>
    <x v="0"/>
    <x v="23"/>
    <x v="3"/>
    <x v="1378"/>
    <x v="0"/>
    <x v="78"/>
    <n v="3064.51"/>
    <n v="3064.51"/>
    <n v="0"/>
    <n v="1"/>
  </r>
  <r>
    <x v="3"/>
    <x v="0"/>
    <x v="23"/>
    <x v="3"/>
    <x v="1379"/>
    <x v="0"/>
    <x v="258"/>
    <n v="1564.1"/>
    <n v="1564.1"/>
    <n v="0"/>
    <n v="1"/>
  </r>
  <r>
    <x v="3"/>
    <x v="0"/>
    <x v="23"/>
    <x v="3"/>
    <x v="1380"/>
    <x v="0"/>
    <x v="76"/>
    <n v="2120.5700000000002"/>
    <n v="2120.5700000000002"/>
    <n v="0"/>
    <n v="1"/>
  </r>
  <r>
    <x v="3"/>
    <x v="0"/>
    <x v="23"/>
    <x v="3"/>
    <x v="1381"/>
    <x v="0"/>
    <x v="115"/>
    <n v="7979.14"/>
    <n v="7979.14"/>
    <n v="0"/>
    <n v="1"/>
  </r>
  <r>
    <x v="3"/>
    <x v="0"/>
    <x v="23"/>
    <x v="3"/>
    <x v="1382"/>
    <x v="0"/>
    <x v="194"/>
    <n v="1702.85"/>
    <n v="1702.85"/>
    <n v="0"/>
    <n v="1"/>
  </r>
  <r>
    <x v="3"/>
    <x v="0"/>
    <x v="23"/>
    <x v="3"/>
    <x v="1383"/>
    <x v="0"/>
    <x v="71"/>
    <n v="3642.55"/>
    <n v="3642.55"/>
    <n v="0"/>
    <n v="1"/>
  </r>
  <r>
    <x v="3"/>
    <x v="0"/>
    <x v="23"/>
    <x v="3"/>
    <x v="1384"/>
    <x v="0"/>
    <x v="132"/>
    <n v="2781.12"/>
    <n v="2781.12"/>
    <n v="0"/>
    <n v="1"/>
  </r>
  <r>
    <x v="3"/>
    <x v="0"/>
    <x v="23"/>
    <x v="3"/>
    <x v="1385"/>
    <x v="0"/>
    <x v="315"/>
    <n v="2992.72"/>
    <n v="2992.72"/>
    <n v="0"/>
    <n v="1"/>
  </r>
  <r>
    <x v="3"/>
    <x v="0"/>
    <x v="23"/>
    <x v="3"/>
    <x v="1386"/>
    <x v="0"/>
    <x v="441"/>
    <n v="5435.95"/>
    <n v="5435.95"/>
    <n v="0"/>
    <n v="1"/>
  </r>
  <r>
    <x v="3"/>
    <x v="0"/>
    <x v="23"/>
    <x v="3"/>
    <x v="1387"/>
    <x v="0"/>
    <x v="358"/>
    <n v="3140.61"/>
    <n v="3140.61"/>
    <n v="0"/>
    <n v="1"/>
  </r>
  <r>
    <x v="3"/>
    <x v="0"/>
    <x v="23"/>
    <x v="3"/>
    <x v="1388"/>
    <x v="0"/>
    <x v="74"/>
    <n v="2060.39"/>
    <n v="2060.39"/>
    <n v="0"/>
    <n v="1"/>
  </r>
  <r>
    <x v="3"/>
    <x v="0"/>
    <x v="23"/>
    <x v="3"/>
    <x v="1389"/>
    <x v="0"/>
    <x v="389"/>
    <n v="811.31"/>
    <n v="811.31"/>
    <n v="0"/>
    <n v="1"/>
  </r>
  <r>
    <x v="3"/>
    <x v="0"/>
    <x v="23"/>
    <x v="3"/>
    <x v="1390"/>
    <x v="0"/>
    <x v="45"/>
    <n v="3862.7"/>
    <n v="3862.7"/>
    <n v="0"/>
    <n v="1"/>
  </r>
  <r>
    <x v="3"/>
    <x v="0"/>
    <x v="23"/>
    <x v="3"/>
    <x v="1391"/>
    <x v="0"/>
    <x v="152"/>
    <n v="703.61"/>
    <n v="703.61"/>
    <n v="0"/>
    <n v="1"/>
  </r>
  <r>
    <x v="3"/>
    <x v="0"/>
    <x v="23"/>
    <x v="3"/>
    <x v="1392"/>
    <x v="0"/>
    <x v="252"/>
    <n v="3634.61"/>
    <n v="3634.61"/>
    <n v="0"/>
    <n v="1"/>
  </r>
  <r>
    <x v="3"/>
    <x v="0"/>
    <x v="23"/>
    <x v="3"/>
    <x v="1393"/>
    <x v="0"/>
    <x v="103"/>
    <n v="8988.32"/>
    <n v="8988.32"/>
    <n v="0"/>
    <n v="1"/>
  </r>
  <r>
    <x v="3"/>
    <x v="0"/>
    <x v="23"/>
    <x v="3"/>
    <x v="1394"/>
    <x v="0"/>
    <x v="37"/>
    <n v="7715.65"/>
    <n v="7715.65"/>
    <n v="0"/>
    <n v="1"/>
  </r>
  <r>
    <x v="3"/>
    <x v="0"/>
    <x v="23"/>
    <x v="3"/>
    <x v="1395"/>
    <x v="6"/>
    <x v="459"/>
    <n v="-10888.71"/>
    <n v="-10888.71"/>
    <n v="0"/>
    <n v="1"/>
  </r>
  <r>
    <x v="3"/>
    <x v="0"/>
    <x v="23"/>
    <x v="3"/>
    <x v="1396"/>
    <x v="6"/>
    <x v="460"/>
    <n v="-13869.37"/>
    <n v="-13869.37"/>
    <n v="0"/>
    <n v="1"/>
  </r>
  <r>
    <x v="3"/>
    <x v="0"/>
    <x v="23"/>
    <x v="3"/>
    <x v="1397"/>
    <x v="6"/>
    <x v="461"/>
    <n v="-16702.349999999999"/>
    <n v="-16702.349999999999"/>
    <n v="0"/>
    <n v="1"/>
  </r>
  <r>
    <x v="3"/>
    <x v="0"/>
    <x v="23"/>
    <x v="3"/>
    <x v="1398"/>
    <x v="0"/>
    <x v="23"/>
    <n v="1974.03"/>
    <n v="1974.03"/>
    <n v="0"/>
    <n v="1"/>
  </r>
  <r>
    <x v="3"/>
    <x v="0"/>
    <x v="23"/>
    <x v="3"/>
    <x v="1399"/>
    <x v="0"/>
    <x v="73"/>
    <n v="1924.68"/>
    <n v="1924.68"/>
    <n v="0"/>
    <n v="1"/>
  </r>
  <r>
    <x v="3"/>
    <x v="0"/>
    <x v="23"/>
    <x v="3"/>
    <x v="1400"/>
    <x v="6"/>
    <x v="462"/>
    <n v="-18061.47"/>
    <n v="-18061.47"/>
    <n v="0"/>
    <n v="1"/>
  </r>
  <r>
    <x v="3"/>
    <x v="0"/>
    <x v="23"/>
    <x v="3"/>
    <x v="1401"/>
    <x v="0"/>
    <x v="0"/>
    <n v="7798.97"/>
    <n v="7798.97"/>
    <n v="0"/>
    <n v="1"/>
  </r>
  <r>
    <x v="3"/>
    <x v="0"/>
    <x v="23"/>
    <x v="3"/>
    <x v="1402"/>
    <x v="0"/>
    <x v="463"/>
    <n v="3770.28"/>
    <n v="3770.28"/>
    <n v="0"/>
    <n v="1"/>
  </r>
  <r>
    <x v="3"/>
    <x v="0"/>
    <x v="23"/>
    <x v="3"/>
    <x v="1403"/>
    <x v="0"/>
    <x v="161"/>
    <n v="2319.33"/>
    <n v="2319.33"/>
    <n v="0"/>
    <n v="1"/>
  </r>
  <r>
    <x v="3"/>
    <x v="0"/>
    <x v="23"/>
    <x v="3"/>
    <x v="1404"/>
    <x v="0"/>
    <x v="77"/>
    <n v="1089.52"/>
    <n v="1089.52"/>
    <n v="0"/>
    <n v="1"/>
  </r>
  <r>
    <x v="3"/>
    <x v="0"/>
    <x v="23"/>
    <x v="3"/>
    <x v="1405"/>
    <x v="0"/>
    <x v="271"/>
    <n v="2316.2600000000002"/>
    <n v="2316.2600000000002"/>
    <n v="0"/>
    <n v="1"/>
  </r>
  <r>
    <x v="3"/>
    <x v="0"/>
    <x v="23"/>
    <x v="3"/>
    <x v="1406"/>
    <x v="0"/>
    <x v="82"/>
    <n v="2508.8200000000002"/>
    <n v="2508.8200000000002"/>
    <n v="0"/>
    <n v="1"/>
  </r>
  <r>
    <x v="3"/>
    <x v="0"/>
    <x v="23"/>
    <x v="3"/>
    <x v="1407"/>
    <x v="0"/>
    <x v="275"/>
    <n v="2355.2399999999998"/>
    <n v="2355.2399999999998"/>
    <n v="0"/>
    <n v="1"/>
  </r>
  <r>
    <x v="3"/>
    <x v="0"/>
    <x v="23"/>
    <x v="3"/>
    <x v="1408"/>
    <x v="0"/>
    <x v="35"/>
    <n v="2236.36"/>
    <n v="2236.36"/>
    <n v="0"/>
    <n v="1"/>
  </r>
  <r>
    <x v="3"/>
    <x v="0"/>
    <x v="23"/>
    <x v="3"/>
    <x v="1409"/>
    <x v="0"/>
    <x v="244"/>
    <n v="2362.6"/>
    <n v="2362.6"/>
    <n v="0"/>
    <n v="1"/>
  </r>
  <r>
    <x v="3"/>
    <x v="0"/>
    <x v="23"/>
    <x v="3"/>
    <x v="1410"/>
    <x v="0"/>
    <x v="294"/>
    <n v="8581.83"/>
    <n v="8581.83"/>
    <n v="0"/>
    <n v="1"/>
  </r>
  <r>
    <x v="3"/>
    <x v="0"/>
    <x v="23"/>
    <x v="3"/>
    <x v="1411"/>
    <x v="0"/>
    <x v="184"/>
    <n v="675.63"/>
    <n v="675.63"/>
    <n v="0"/>
    <n v="1"/>
  </r>
  <r>
    <x v="3"/>
    <x v="0"/>
    <x v="23"/>
    <x v="3"/>
    <x v="1412"/>
    <x v="0"/>
    <x v="192"/>
    <n v="1753.17"/>
    <n v="1753.17"/>
    <n v="0"/>
    <n v="1"/>
  </r>
  <r>
    <x v="3"/>
    <x v="0"/>
    <x v="23"/>
    <x v="3"/>
    <x v="1413"/>
    <x v="0"/>
    <x v="15"/>
    <n v="2512.17"/>
    <n v="2512.17"/>
    <n v="0"/>
    <n v="1"/>
  </r>
  <r>
    <x v="3"/>
    <x v="0"/>
    <x v="23"/>
    <x v="3"/>
    <x v="1414"/>
    <x v="0"/>
    <x v="126"/>
    <n v="399.36"/>
    <n v="399.36"/>
    <n v="0"/>
    <n v="1"/>
  </r>
  <r>
    <x v="3"/>
    <x v="0"/>
    <x v="23"/>
    <x v="3"/>
    <x v="1415"/>
    <x v="0"/>
    <x v="101"/>
    <n v="12646.52"/>
    <n v="12646.52"/>
    <n v="0"/>
    <n v="1"/>
  </r>
  <r>
    <x v="3"/>
    <x v="0"/>
    <x v="23"/>
    <x v="3"/>
    <x v="1416"/>
    <x v="0"/>
    <x v="149"/>
    <n v="2153.84"/>
    <n v="2153.84"/>
    <n v="0"/>
    <n v="1"/>
  </r>
  <r>
    <x v="3"/>
    <x v="0"/>
    <x v="23"/>
    <x v="3"/>
    <x v="1417"/>
    <x v="0"/>
    <x v="0"/>
    <n v="18779.09"/>
    <n v="18779.09"/>
    <n v="0"/>
    <n v="1"/>
  </r>
  <r>
    <x v="3"/>
    <x v="0"/>
    <x v="23"/>
    <x v="3"/>
    <x v="1418"/>
    <x v="0"/>
    <x v="98"/>
    <n v="5709.27"/>
    <n v="5709.27"/>
    <n v="0"/>
    <n v="1"/>
  </r>
  <r>
    <x v="3"/>
    <x v="0"/>
    <x v="23"/>
    <x v="3"/>
    <x v="1419"/>
    <x v="0"/>
    <x v="106"/>
    <n v="23790.36"/>
    <n v="23790.36"/>
    <n v="0"/>
    <n v="1"/>
  </r>
  <r>
    <x v="3"/>
    <x v="0"/>
    <x v="23"/>
    <x v="3"/>
    <x v="1420"/>
    <x v="0"/>
    <x v="99"/>
    <n v="9660.09"/>
    <n v="9660.09"/>
    <n v="0"/>
    <n v="1"/>
  </r>
  <r>
    <x v="3"/>
    <x v="0"/>
    <x v="23"/>
    <x v="3"/>
    <x v="1421"/>
    <x v="0"/>
    <x v="8"/>
    <n v="7358.92"/>
    <n v="7358.92"/>
    <n v="0"/>
    <n v="1"/>
  </r>
  <r>
    <x v="3"/>
    <x v="0"/>
    <x v="23"/>
    <x v="3"/>
    <x v="1422"/>
    <x v="0"/>
    <x v="21"/>
    <n v="2275.5500000000002"/>
    <n v="2275.5500000000002"/>
    <n v="0"/>
    <n v="1"/>
  </r>
  <r>
    <x v="3"/>
    <x v="0"/>
    <x v="23"/>
    <x v="3"/>
    <x v="1423"/>
    <x v="0"/>
    <x v="176"/>
    <n v="14417.79"/>
    <n v="14417.79"/>
    <n v="0"/>
    <n v="1"/>
  </r>
  <r>
    <x v="3"/>
    <x v="0"/>
    <x v="23"/>
    <x v="3"/>
    <x v="1424"/>
    <x v="0"/>
    <x v="123"/>
    <n v="4004.95"/>
    <n v="4004.95"/>
    <n v="0"/>
    <n v="1"/>
  </r>
  <r>
    <x v="3"/>
    <x v="0"/>
    <x v="23"/>
    <x v="3"/>
    <x v="1425"/>
    <x v="0"/>
    <x v="125"/>
    <n v="11429.28"/>
    <n v="11429.28"/>
    <n v="0"/>
    <n v="1"/>
  </r>
  <r>
    <x v="3"/>
    <x v="0"/>
    <x v="23"/>
    <x v="3"/>
    <x v="1426"/>
    <x v="0"/>
    <x v="464"/>
    <n v="2102.2399999999998"/>
    <n v="2102.2399999999998"/>
    <n v="0"/>
    <n v="1"/>
  </r>
  <r>
    <x v="3"/>
    <x v="0"/>
    <x v="23"/>
    <x v="3"/>
    <x v="1427"/>
    <x v="0"/>
    <x v="98"/>
    <n v="2811.57"/>
    <n v="2811.57"/>
    <n v="0"/>
    <n v="1"/>
  </r>
  <r>
    <x v="3"/>
    <x v="0"/>
    <x v="23"/>
    <x v="3"/>
    <x v="1428"/>
    <x v="0"/>
    <x v="105"/>
    <n v="15778.49"/>
    <n v="15778.49"/>
    <n v="0"/>
    <n v="1"/>
  </r>
  <r>
    <x v="3"/>
    <x v="0"/>
    <x v="23"/>
    <x v="3"/>
    <x v="1429"/>
    <x v="0"/>
    <x v="91"/>
    <n v="10868.85"/>
    <n v="10868.85"/>
    <n v="0"/>
    <n v="1"/>
  </r>
  <r>
    <x v="3"/>
    <x v="0"/>
    <x v="23"/>
    <x v="3"/>
    <x v="1430"/>
    <x v="0"/>
    <x v="45"/>
    <n v="3522.05"/>
    <n v="3522.05"/>
    <n v="0"/>
    <n v="1"/>
  </r>
  <r>
    <x v="3"/>
    <x v="0"/>
    <x v="23"/>
    <x v="3"/>
    <x v="1431"/>
    <x v="0"/>
    <x v="277"/>
    <n v="9066.34"/>
    <n v="9066.34"/>
    <n v="0"/>
    <n v="1"/>
  </r>
  <r>
    <x v="3"/>
    <x v="0"/>
    <x v="23"/>
    <x v="3"/>
    <x v="1432"/>
    <x v="0"/>
    <x v="113"/>
    <n v="14963.57"/>
    <n v="14963.57"/>
    <n v="0"/>
    <n v="1"/>
  </r>
  <r>
    <x v="3"/>
    <x v="0"/>
    <x v="23"/>
    <x v="3"/>
    <x v="1433"/>
    <x v="0"/>
    <x v="199"/>
    <n v="947.04"/>
    <n v="947.04"/>
    <n v="0"/>
    <n v="1"/>
  </r>
  <r>
    <x v="3"/>
    <x v="0"/>
    <x v="23"/>
    <x v="3"/>
    <x v="1434"/>
    <x v="0"/>
    <x v="8"/>
    <n v="22340.7"/>
    <n v="22340.7"/>
    <n v="0"/>
    <n v="1"/>
  </r>
  <r>
    <x v="3"/>
    <x v="0"/>
    <x v="23"/>
    <x v="3"/>
    <x v="1435"/>
    <x v="0"/>
    <x v="90"/>
    <n v="10940.72"/>
    <n v="10940.72"/>
    <n v="0"/>
    <n v="1"/>
  </r>
  <r>
    <x v="3"/>
    <x v="0"/>
    <x v="23"/>
    <x v="3"/>
    <x v="1436"/>
    <x v="0"/>
    <x v="249"/>
    <n v="6043.62"/>
    <n v="6043.62"/>
    <n v="0"/>
    <n v="1"/>
  </r>
  <r>
    <x v="3"/>
    <x v="0"/>
    <x v="23"/>
    <x v="3"/>
    <x v="1437"/>
    <x v="0"/>
    <x v="197"/>
    <n v="1629.25"/>
    <n v="1629.25"/>
    <n v="0"/>
    <n v="1"/>
  </r>
  <r>
    <x v="3"/>
    <x v="0"/>
    <x v="23"/>
    <x v="3"/>
    <x v="1438"/>
    <x v="0"/>
    <x v="94"/>
    <n v="3852.18"/>
    <n v="3852.18"/>
    <n v="0"/>
    <n v="1"/>
  </r>
  <r>
    <x v="3"/>
    <x v="0"/>
    <x v="23"/>
    <x v="3"/>
    <x v="1439"/>
    <x v="0"/>
    <x v="140"/>
    <n v="4825.53"/>
    <n v="4825.53"/>
    <n v="0"/>
    <n v="1"/>
  </r>
  <r>
    <x v="3"/>
    <x v="0"/>
    <x v="23"/>
    <x v="3"/>
    <x v="1440"/>
    <x v="0"/>
    <x v="367"/>
    <n v="1100.9000000000001"/>
    <n v="1100.9000000000001"/>
    <n v="0"/>
    <n v="1"/>
  </r>
  <r>
    <x v="3"/>
    <x v="0"/>
    <x v="23"/>
    <x v="3"/>
    <x v="1441"/>
    <x v="0"/>
    <x v="336"/>
    <n v="883.96"/>
    <n v="883.96"/>
    <n v="0"/>
    <n v="1"/>
  </r>
  <r>
    <x v="3"/>
    <x v="0"/>
    <x v="23"/>
    <x v="3"/>
    <x v="1442"/>
    <x v="0"/>
    <x v="399"/>
    <n v="2484.96"/>
    <n v="2484.96"/>
    <n v="0"/>
    <n v="1"/>
  </r>
  <r>
    <x v="3"/>
    <x v="0"/>
    <x v="23"/>
    <x v="3"/>
    <x v="1443"/>
    <x v="0"/>
    <x v="465"/>
    <n v="1457.02"/>
    <n v="1457.02"/>
    <n v="0"/>
    <n v="1"/>
  </r>
  <r>
    <x v="3"/>
    <x v="0"/>
    <x v="23"/>
    <x v="3"/>
    <x v="1444"/>
    <x v="0"/>
    <x v="26"/>
    <n v="538.6"/>
    <n v="538.6"/>
    <n v="0"/>
    <n v="1"/>
  </r>
  <r>
    <x v="3"/>
    <x v="0"/>
    <x v="23"/>
    <x v="3"/>
    <x v="1445"/>
    <x v="0"/>
    <x v="117"/>
    <n v="3121.28"/>
    <n v="3121.28"/>
    <n v="0"/>
    <n v="1"/>
  </r>
  <r>
    <x v="3"/>
    <x v="0"/>
    <x v="23"/>
    <x v="3"/>
    <x v="1446"/>
    <x v="0"/>
    <x v="239"/>
    <n v="1931.17"/>
    <n v="1931.17"/>
    <n v="0"/>
    <n v="1"/>
  </r>
  <r>
    <x v="3"/>
    <x v="0"/>
    <x v="23"/>
    <x v="3"/>
    <x v="1447"/>
    <x v="0"/>
    <x v="117"/>
    <n v="2116.84"/>
    <n v="2116.84"/>
    <n v="0"/>
    <n v="1"/>
  </r>
  <r>
    <x v="3"/>
    <x v="0"/>
    <x v="23"/>
    <x v="3"/>
    <x v="1448"/>
    <x v="0"/>
    <x v="213"/>
    <n v="448.87"/>
    <n v="448.87"/>
    <n v="0"/>
    <n v="1"/>
  </r>
  <r>
    <x v="3"/>
    <x v="0"/>
    <x v="23"/>
    <x v="3"/>
    <x v="1449"/>
    <x v="0"/>
    <x v="335"/>
    <n v="5090.03"/>
    <n v="5090.03"/>
    <n v="0"/>
    <n v="1"/>
  </r>
  <r>
    <x v="3"/>
    <x v="0"/>
    <x v="23"/>
    <x v="3"/>
    <x v="1450"/>
    <x v="0"/>
    <x v="246"/>
    <n v="3299.27"/>
    <n v="3299.27"/>
    <n v="0"/>
    <n v="1"/>
  </r>
  <r>
    <x v="3"/>
    <x v="0"/>
    <x v="23"/>
    <x v="3"/>
    <x v="1451"/>
    <x v="0"/>
    <x v="26"/>
    <n v="2499.29"/>
    <n v="2499.29"/>
    <n v="0"/>
    <n v="1"/>
  </r>
  <r>
    <x v="3"/>
    <x v="0"/>
    <x v="23"/>
    <x v="3"/>
    <x v="1452"/>
    <x v="0"/>
    <x v="464"/>
    <n v="797.24"/>
    <n v="797.24"/>
    <n v="0"/>
    <n v="1"/>
  </r>
  <r>
    <x v="3"/>
    <x v="0"/>
    <x v="23"/>
    <x v="3"/>
    <x v="1453"/>
    <x v="0"/>
    <x v="113"/>
    <n v="7413.49"/>
    <n v="7413.49"/>
    <n v="0"/>
    <n v="1"/>
  </r>
  <r>
    <x v="3"/>
    <x v="0"/>
    <x v="23"/>
    <x v="3"/>
    <x v="1454"/>
    <x v="0"/>
    <x v="111"/>
    <n v="11187.1"/>
    <n v="11187.1"/>
    <n v="0"/>
    <n v="1"/>
  </r>
  <r>
    <x v="3"/>
    <x v="0"/>
    <x v="23"/>
    <x v="3"/>
    <x v="1455"/>
    <x v="0"/>
    <x v="30"/>
    <n v="1092.1300000000001"/>
    <n v="1092.1300000000001"/>
    <n v="0"/>
    <n v="1"/>
  </r>
  <r>
    <x v="3"/>
    <x v="0"/>
    <x v="23"/>
    <x v="3"/>
    <x v="1456"/>
    <x v="0"/>
    <x v="118"/>
    <n v="1958.27"/>
    <n v="1958.27"/>
    <n v="0"/>
    <n v="1"/>
  </r>
  <r>
    <x v="3"/>
    <x v="0"/>
    <x v="23"/>
    <x v="3"/>
    <x v="1457"/>
    <x v="0"/>
    <x v="466"/>
    <n v="830.24"/>
    <n v="830.24"/>
    <n v="0"/>
    <n v="1"/>
  </r>
  <r>
    <x v="3"/>
    <x v="0"/>
    <x v="23"/>
    <x v="3"/>
    <x v="1458"/>
    <x v="0"/>
    <x v="113"/>
    <n v="3491.61"/>
    <n v="3491.61"/>
    <n v="0"/>
    <n v="1"/>
  </r>
  <r>
    <x v="3"/>
    <x v="0"/>
    <x v="23"/>
    <x v="3"/>
    <x v="1459"/>
    <x v="0"/>
    <x v="185"/>
    <n v="528.1"/>
    <n v="528.1"/>
    <n v="0"/>
    <n v="1"/>
  </r>
  <r>
    <x v="3"/>
    <x v="0"/>
    <x v="23"/>
    <x v="3"/>
    <x v="1460"/>
    <x v="0"/>
    <x v="467"/>
    <n v="2039.68"/>
    <n v="2039.68"/>
    <n v="0"/>
    <n v="1"/>
  </r>
  <r>
    <x v="3"/>
    <x v="0"/>
    <x v="23"/>
    <x v="3"/>
    <x v="1461"/>
    <x v="0"/>
    <x v="183"/>
    <n v="2459.7800000000002"/>
    <n v="2459.7800000000002"/>
    <n v="0"/>
    <n v="1"/>
  </r>
  <r>
    <x v="3"/>
    <x v="0"/>
    <x v="23"/>
    <x v="3"/>
    <x v="1462"/>
    <x v="0"/>
    <x v="97"/>
    <n v="8496.5499999999993"/>
    <n v="8496.5499999999993"/>
    <n v="0"/>
    <n v="1"/>
  </r>
  <r>
    <x v="3"/>
    <x v="0"/>
    <x v="23"/>
    <x v="3"/>
    <x v="1463"/>
    <x v="0"/>
    <x v="445"/>
    <n v="3260.19"/>
    <n v="3260.19"/>
    <n v="0"/>
    <n v="1"/>
  </r>
  <r>
    <x v="3"/>
    <x v="0"/>
    <x v="23"/>
    <x v="3"/>
    <x v="1464"/>
    <x v="0"/>
    <x v="221"/>
    <n v="6474.18"/>
    <n v="6474.18"/>
    <n v="0"/>
    <n v="1"/>
  </r>
  <r>
    <x v="3"/>
    <x v="0"/>
    <x v="23"/>
    <x v="3"/>
    <x v="1465"/>
    <x v="0"/>
    <x v="407"/>
    <n v="3089.45"/>
    <n v="3089.45"/>
    <n v="0"/>
    <n v="1"/>
  </r>
  <r>
    <x v="3"/>
    <x v="0"/>
    <x v="23"/>
    <x v="3"/>
    <x v="1466"/>
    <x v="0"/>
    <x v="314"/>
    <n v="8882.34"/>
    <n v="8882.34"/>
    <n v="0"/>
    <n v="1"/>
  </r>
  <r>
    <x v="3"/>
    <x v="0"/>
    <x v="23"/>
    <x v="3"/>
    <x v="1467"/>
    <x v="0"/>
    <x v="111"/>
    <n v="6284.19"/>
    <n v="6284.19"/>
    <n v="0"/>
    <n v="1"/>
  </r>
  <r>
    <x v="3"/>
    <x v="0"/>
    <x v="23"/>
    <x v="3"/>
    <x v="1468"/>
    <x v="0"/>
    <x v="91"/>
    <n v="10158.219999999999"/>
    <n v="10158.219999999999"/>
    <n v="0"/>
    <n v="1"/>
  </r>
  <r>
    <x v="3"/>
    <x v="0"/>
    <x v="23"/>
    <x v="3"/>
    <x v="1469"/>
    <x v="0"/>
    <x v="96"/>
    <n v="2395.5100000000002"/>
    <n v="2395.5100000000002"/>
    <n v="0"/>
    <n v="1"/>
  </r>
  <r>
    <x v="3"/>
    <x v="0"/>
    <x v="23"/>
    <x v="3"/>
    <x v="1470"/>
    <x v="0"/>
    <x v="99"/>
    <n v="8325.67"/>
    <n v="8325.67"/>
    <n v="0"/>
    <n v="1"/>
  </r>
  <r>
    <x v="3"/>
    <x v="0"/>
    <x v="23"/>
    <x v="3"/>
    <x v="1471"/>
    <x v="0"/>
    <x v="468"/>
    <n v="2917.6"/>
    <n v="2917.6"/>
    <n v="0"/>
    <n v="1"/>
  </r>
  <r>
    <x v="3"/>
    <x v="0"/>
    <x v="23"/>
    <x v="3"/>
    <x v="1472"/>
    <x v="0"/>
    <x v="469"/>
    <n v="1424.16"/>
    <n v="1424.16"/>
    <n v="0"/>
    <n v="1"/>
  </r>
  <r>
    <x v="3"/>
    <x v="0"/>
    <x v="23"/>
    <x v="3"/>
    <x v="1473"/>
    <x v="0"/>
    <x v="401"/>
    <n v="4321.62"/>
    <n v="4321.62"/>
    <n v="0"/>
    <n v="1"/>
  </r>
  <r>
    <x v="3"/>
    <x v="0"/>
    <x v="23"/>
    <x v="3"/>
    <x v="1474"/>
    <x v="0"/>
    <x v="96"/>
    <n v="6225.07"/>
    <n v="6225.07"/>
    <n v="0"/>
    <n v="1"/>
  </r>
  <r>
    <x v="3"/>
    <x v="0"/>
    <x v="23"/>
    <x v="3"/>
    <x v="1475"/>
    <x v="0"/>
    <x v="149"/>
    <n v="4151.38"/>
    <n v="4151.38"/>
    <n v="0"/>
    <n v="1"/>
  </r>
  <r>
    <x v="3"/>
    <x v="0"/>
    <x v="23"/>
    <x v="3"/>
    <x v="1476"/>
    <x v="0"/>
    <x v="99"/>
    <n v="3149.51"/>
    <n v="3149.51"/>
    <n v="0"/>
    <n v="1"/>
  </r>
  <r>
    <x v="3"/>
    <x v="0"/>
    <x v="23"/>
    <x v="3"/>
    <x v="1477"/>
    <x v="0"/>
    <x v="0"/>
    <n v="21476.93"/>
    <n v="21476.93"/>
    <n v="0"/>
    <n v="1"/>
  </r>
  <r>
    <x v="3"/>
    <x v="0"/>
    <x v="23"/>
    <x v="3"/>
    <x v="1478"/>
    <x v="0"/>
    <x v="153"/>
    <n v="2399.96"/>
    <n v="2399.96"/>
    <n v="0"/>
    <n v="1"/>
  </r>
  <r>
    <x v="3"/>
    <x v="0"/>
    <x v="23"/>
    <x v="3"/>
    <x v="1479"/>
    <x v="0"/>
    <x v="70"/>
    <n v="1579.02"/>
    <n v="1579.02"/>
    <n v="0"/>
    <n v="1"/>
  </r>
  <r>
    <x v="3"/>
    <x v="0"/>
    <x v="23"/>
    <x v="3"/>
    <x v="1480"/>
    <x v="0"/>
    <x v="196"/>
    <n v="13985.95"/>
    <n v="13985.95"/>
    <n v="0"/>
    <n v="1"/>
  </r>
  <r>
    <x v="3"/>
    <x v="0"/>
    <x v="23"/>
    <x v="3"/>
    <x v="1481"/>
    <x v="0"/>
    <x v="101"/>
    <n v="8977"/>
    <n v="8977"/>
    <n v="0"/>
    <n v="1"/>
  </r>
  <r>
    <x v="3"/>
    <x v="0"/>
    <x v="23"/>
    <x v="3"/>
    <x v="1482"/>
    <x v="0"/>
    <x v="123"/>
    <n v="5419.4"/>
    <n v="5419.4"/>
    <n v="0"/>
    <n v="1"/>
  </r>
  <r>
    <x v="3"/>
    <x v="0"/>
    <x v="23"/>
    <x v="3"/>
    <x v="1483"/>
    <x v="0"/>
    <x v="120"/>
    <n v="8639.6200000000008"/>
    <n v="8639.6200000000008"/>
    <n v="0"/>
    <n v="1"/>
  </r>
  <r>
    <x v="3"/>
    <x v="2"/>
    <x v="2"/>
    <x v="2"/>
    <x v="1484"/>
    <x v="5"/>
    <x v="221"/>
    <n v="5717.53"/>
    <n v="5717.53"/>
    <n v="0"/>
    <n v="1"/>
  </r>
  <r>
    <x v="3"/>
    <x v="0"/>
    <x v="2"/>
    <x v="2"/>
    <x v="1485"/>
    <x v="0"/>
    <x v="456"/>
    <n v="2237.3000000000002"/>
    <n v="2237.3000000000002"/>
    <n v="0"/>
    <n v="1"/>
  </r>
  <r>
    <x v="3"/>
    <x v="0"/>
    <x v="2"/>
    <x v="2"/>
    <x v="1486"/>
    <x v="0"/>
    <x v="466"/>
    <n v="3053.97"/>
    <n v="3053.97"/>
    <n v="0"/>
    <n v="1"/>
  </r>
  <r>
    <x v="3"/>
    <x v="0"/>
    <x v="2"/>
    <x v="2"/>
    <x v="1487"/>
    <x v="0"/>
    <x v="223"/>
    <n v="996.7"/>
    <n v="996.7"/>
    <n v="0"/>
    <n v="1"/>
  </r>
  <r>
    <x v="3"/>
    <x v="0"/>
    <x v="2"/>
    <x v="2"/>
    <x v="1488"/>
    <x v="0"/>
    <x v="335"/>
    <n v="12300.98"/>
    <n v="12300.98"/>
    <n v="0"/>
    <n v="1"/>
  </r>
  <r>
    <x v="3"/>
    <x v="0"/>
    <x v="2"/>
    <x v="2"/>
    <x v="1489"/>
    <x v="0"/>
    <x v="457"/>
    <n v="2314.4899999999998"/>
    <n v="2314.4899999999998"/>
    <n v="0"/>
    <n v="1"/>
  </r>
  <r>
    <x v="3"/>
    <x v="0"/>
    <x v="2"/>
    <x v="2"/>
    <x v="1490"/>
    <x v="0"/>
    <x v="240"/>
    <n v="1602.44"/>
    <n v="1602.44"/>
    <n v="0"/>
    <n v="1"/>
  </r>
  <r>
    <x v="3"/>
    <x v="0"/>
    <x v="2"/>
    <x v="2"/>
    <x v="1491"/>
    <x v="0"/>
    <x v="28"/>
    <n v="906.74"/>
    <n v="906.74"/>
    <n v="0"/>
    <n v="1"/>
  </r>
  <r>
    <x v="3"/>
    <x v="0"/>
    <x v="2"/>
    <x v="2"/>
    <x v="1492"/>
    <x v="0"/>
    <x v="9"/>
    <n v="2662.56"/>
    <n v="2662.56"/>
    <n v="0"/>
    <n v="1"/>
  </r>
  <r>
    <x v="3"/>
    <x v="0"/>
    <x v="2"/>
    <x v="2"/>
    <x v="1493"/>
    <x v="0"/>
    <x v="101"/>
    <n v="11385.27"/>
    <n v="11385.27"/>
    <n v="0"/>
    <n v="1"/>
  </r>
  <r>
    <x v="3"/>
    <x v="0"/>
    <x v="2"/>
    <x v="2"/>
    <x v="1494"/>
    <x v="0"/>
    <x v="187"/>
    <n v="2567.59"/>
    <n v="2567.59"/>
    <n v="0"/>
    <n v="1"/>
  </r>
  <r>
    <x v="3"/>
    <x v="0"/>
    <x v="2"/>
    <x v="2"/>
    <x v="1495"/>
    <x v="0"/>
    <x v="38"/>
    <n v="2232.13"/>
    <n v="2232.13"/>
    <n v="0"/>
    <n v="1"/>
  </r>
  <r>
    <x v="3"/>
    <x v="0"/>
    <x v="2"/>
    <x v="2"/>
    <x v="1496"/>
    <x v="0"/>
    <x v="252"/>
    <n v="1970.81"/>
    <n v="1970.81"/>
    <n v="0"/>
    <n v="1"/>
  </r>
  <r>
    <x v="3"/>
    <x v="0"/>
    <x v="2"/>
    <x v="2"/>
    <x v="1497"/>
    <x v="0"/>
    <x v="95"/>
    <n v="3622.62"/>
    <n v="3622.62"/>
    <n v="0"/>
    <n v="1"/>
  </r>
  <r>
    <x v="3"/>
    <x v="0"/>
    <x v="2"/>
    <x v="2"/>
    <x v="1498"/>
    <x v="0"/>
    <x v="247"/>
    <n v="835.68"/>
    <n v="835.68"/>
    <n v="0"/>
    <n v="1"/>
  </r>
  <r>
    <x v="3"/>
    <x v="0"/>
    <x v="2"/>
    <x v="2"/>
    <x v="1499"/>
    <x v="0"/>
    <x v="210"/>
    <n v="5938.4"/>
    <n v="5938.4"/>
    <n v="0"/>
    <n v="1"/>
  </r>
  <r>
    <x v="3"/>
    <x v="0"/>
    <x v="2"/>
    <x v="2"/>
    <x v="1500"/>
    <x v="0"/>
    <x v="89"/>
    <n v="11728.45"/>
    <n v="11728.45"/>
    <n v="0"/>
    <n v="1"/>
  </r>
  <r>
    <x v="3"/>
    <x v="0"/>
    <x v="2"/>
    <x v="2"/>
    <x v="1501"/>
    <x v="0"/>
    <x v="84"/>
    <n v="507.08"/>
    <n v="507.08"/>
    <n v="0"/>
    <n v="1"/>
  </r>
  <r>
    <x v="3"/>
    <x v="0"/>
    <x v="2"/>
    <x v="2"/>
    <x v="1502"/>
    <x v="0"/>
    <x v="206"/>
    <n v="2630.38"/>
    <n v="2630.38"/>
    <n v="0"/>
    <n v="1"/>
  </r>
  <r>
    <x v="3"/>
    <x v="0"/>
    <x v="2"/>
    <x v="2"/>
    <x v="1503"/>
    <x v="0"/>
    <x v="377"/>
    <n v="3165.94"/>
    <n v="3165.94"/>
    <n v="0"/>
    <n v="1"/>
  </r>
  <r>
    <x v="3"/>
    <x v="0"/>
    <x v="2"/>
    <x v="2"/>
    <x v="1504"/>
    <x v="0"/>
    <x v="96"/>
    <n v="3859.97"/>
    <n v="3859.97"/>
    <n v="0"/>
    <n v="1"/>
  </r>
  <r>
    <x v="3"/>
    <x v="0"/>
    <x v="2"/>
    <x v="2"/>
    <x v="1505"/>
    <x v="0"/>
    <x v="127"/>
    <n v="2530.06"/>
    <n v="2530.06"/>
    <n v="0"/>
    <n v="1"/>
  </r>
  <r>
    <x v="3"/>
    <x v="0"/>
    <x v="2"/>
    <x v="2"/>
    <x v="1506"/>
    <x v="0"/>
    <x v="165"/>
    <n v="1555.28"/>
    <n v="1555.28"/>
    <n v="0"/>
    <n v="1"/>
  </r>
  <r>
    <x v="3"/>
    <x v="0"/>
    <x v="2"/>
    <x v="2"/>
    <x v="1507"/>
    <x v="0"/>
    <x v="39"/>
    <n v="3831.79"/>
    <n v="3831.79"/>
    <n v="0"/>
    <n v="1"/>
  </r>
  <r>
    <x v="3"/>
    <x v="0"/>
    <x v="2"/>
    <x v="2"/>
    <x v="1508"/>
    <x v="0"/>
    <x v="144"/>
    <n v="2769.4"/>
    <n v="2769.4"/>
    <n v="0"/>
    <n v="1"/>
  </r>
  <r>
    <x v="3"/>
    <x v="0"/>
    <x v="2"/>
    <x v="2"/>
    <x v="1509"/>
    <x v="0"/>
    <x v="166"/>
    <n v="1211.0899999999999"/>
    <n v="1211.0899999999999"/>
    <n v="0"/>
    <n v="1"/>
  </r>
  <r>
    <x v="3"/>
    <x v="0"/>
    <x v="2"/>
    <x v="2"/>
    <x v="1510"/>
    <x v="0"/>
    <x v="190"/>
    <n v="2126.14"/>
    <n v="2126.14"/>
    <n v="0"/>
    <n v="1"/>
  </r>
  <r>
    <x v="3"/>
    <x v="0"/>
    <x v="2"/>
    <x v="2"/>
    <x v="1511"/>
    <x v="0"/>
    <x v="16"/>
    <n v="683.68"/>
    <n v="683.68"/>
    <n v="0"/>
    <n v="1"/>
  </r>
  <r>
    <x v="3"/>
    <x v="0"/>
    <x v="2"/>
    <x v="2"/>
    <x v="1512"/>
    <x v="0"/>
    <x v="199"/>
    <n v="842.26"/>
    <n v="842.26"/>
    <n v="0"/>
    <n v="1"/>
  </r>
  <r>
    <x v="3"/>
    <x v="0"/>
    <x v="2"/>
    <x v="2"/>
    <x v="1513"/>
    <x v="0"/>
    <x v="324"/>
    <n v="11840.18"/>
    <n v="11840.18"/>
    <n v="0"/>
    <n v="1"/>
  </r>
  <r>
    <x v="3"/>
    <x v="0"/>
    <x v="2"/>
    <x v="2"/>
    <x v="1514"/>
    <x v="0"/>
    <x v="109"/>
    <n v="23190.85"/>
    <n v="23190.85"/>
    <n v="0"/>
    <n v="1"/>
  </r>
  <r>
    <x v="3"/>
    <x v="0"/>
    <x v="2"/>
    <x v="2"/>
    <x v="1515"/>
    <x v="0"/>
    <x v="97"/>
    <n v="9018.41"/>
    <n v="9018.41"/>
    <n v="0"/>
    <n v="1"/>
  </r>
  <r>
    <x v="3"/>
    <x v="0"/>
    <x v="2"/>
    <x v="2"/>
    <x v="1516"/>
    <x v="0"/>
    <x v="122"/>
    <n v="3663.58"/>
    <n v="3663.58"/>
    <n v="0"/>
    <n v="1"/>
  </r>
  <r>
    <x v="3"/>
    <x v="0"/>
    <x v="2"/>
    <x v="2"/>
    <x v="1517"/>
    <x v="0"/>
    <x v="99"/>
    <n v="3797.42"/>
    <n v="3797.42"/>
    <n v="0"/>
    <n v="1"/>
  </r>
  <r>
    <x v="3"/>
    <x v="0"/>
    <x v="2"/>
    <x v="2"/>
    <x v="1518"/>
    <x v="0"/>
    <x v="157"/>
    <n v="1872.26"/>
    <n v="1872.26"/>
    <n v="0"/>
    <n v="1"/>
  </r>
  <r>
    <x v="3"/>
    <x v="0"/>
    <x v="2"/>
    <x v="2"/>
    <x v="1519"/>
    <x v="0"/>
    <x v="112"/>
    <n v="5096.91"/>
    <n v="5096.91"/>
    <n v="0"/>
    <n v="1"/>
  </r>
  <r>
    <x v="3"/>
    <x v="0"/>
    <x v="2"/>
    <x v="2"/>
    <x v="1520"/>
    <x v="6"/>
    <x v="470"/>
    <n v="-11048.2"/>
    <n v="-11048.2"/>
    <n v="0"/>
    <n v="1"/>
  </r>
  <r>
    <x v="3"/>
    <x v="0"/>
    <x v="2"/>
    <x v="2"/>
    <x v="1521"/>
    <x v="0"/>
    <x v="24"/>
    <n v="859.48"/>
    <n v="859.48"/>
    <n v="0"/>
    <n v="1"/>
  </r>
  <r>
    <x v="3"/>
    <x v="0"/>
    <x v="2"/>
    <x v="2"/>
    <x v="1522"/>
    <x v="0"/>
    <x v="107"/>
    <n v="22418.89"/>
    <n v="22418.89"/>
    <n v="0"/>
    <n v="1"/>
  </r>
  <r>
    <x v="3"/>
    <x v="0"/>
    <x v="2"/>
    <x v="2"/>
    <x v="1523"/>
    <x v="0"/>
    <x v="99"/>
    <n v="6912.01"/>
    <n v="6912.01"/>
    <n v="0"/>
    <n v="1"/>
  </r>
  <r>
    <x v="3"/>
    <x v="0"/>
    <x v="2"/>
    <x v="2"/>
    <x v="1524"/>
    <x v="0"/>
    <x v="147"/>
    <n v="2786.88"/>
    <n v="2786.88"/>
    <n v="0"/>
    <n v="1"/>
  </r>
  <r>
    <x v="3"/>
    <x v="0"/>
    <x v="2"/>
    <x v="2"/>
    <x v="1525"/>
    <x v="0"/>
    <x v="471"/>
    <n v="4964.0200000000004"/>
    <n v="4964.0200000000004"/>
    <n v="0"/>
    <n v="1"/>
  </r>
  <r>
    <x v="3"/>
    <x v="0"/>
    <x v="2"/>
    <x v="2"/>
    <x v="1526"/>
    <x v="0"/>
    <x v="108"/>
    <n v="18169.2"/>
    <n v="18169.2"/>
    <n v="0"/>
    <n v="1"/>
  </r>
  <r>
    <x v="3"/>
    <x v="0"/>
    <x v="2"/>
    <x v="2"/>
    <x v="1527"/>
    <x v="0"/>
    <x v="14"/>
    <n v="5008.3999999999996"/>
    <n v="5008.3999999999996"/>
    <n v="0"/>
    <n v="1"/>
  </r>
  <r>
    <x v="3"/>
    <x v="0"/>
    <x v="2"/>
    <x v="2"/>
    <x v="1528"/>
    <x v="0"/>
    <x v="105"/>
    <n v="3695.66"/>
    <n v="3695.66"/>
    <n v="0"/>
    <n v="1"/>
  </r>
  <r>
    <x v="3"/>
    <x v="0"/>
    <x v="2"/>
    <x v="2"/>
    <x v="1529"/>
    <x v="0"/>
    <x v="278"/>
    <n v="1223.79"/>
    <n v="1223.79"/>
    <n v="0"/>
    <n v="1"/>
  </r>
  <r>
    <x v="3"/>
    <x v="0"/>
    <x v="2"/>
    <x v="2"/>
    <x v="1530"/>
    <x v="0"/>
    <x v="377"/>
    <n v="2242.58"/>
    <n v="2242.58"/>
    <n v="0"/>
    <n v="1"/>
  </r>
  <r>
    <x v="3"/>
    <x v="0"/>
    <x v="2"/>
    <x v="2"/>
    <x v="1531"/>
    <x v="0"/>
    <x v="87"/>
    <n v="2731.48"/>
    <n v="2731.48"/>
    <n v="0"/>
    <n v="1"/>
  </r>
  <r>
    <x v="3"/>
    <x v="0"/>
    <x v="2"/>
    <x v="2"/>
    <x v="1532"/>
    <x v="0"/>
    <x v="89"/>
    <n v="11858.5"/>
    <n v="11858.5"/>
    <n v="0"/>
    <n v="1"/>
  </r>
  <r>
    <x v="3"/>
    <x v="0"/>
    <x v="2"/>
    <x v="2"/>
    <x v="1533"/>
    <x v="0"/>
    <x v="158"/>
    <n v="2692.06"/>
    <n v="2692.06"/>
    <n v="0"/>
    <n v="1"/>
  </r>
  <r>
    <x v="3"/>
    <x v="0"/>
    <x v="2"/>
    <x v="2"/>
    <x v="1534"/>
    <x v="0"/>
    <x v="404"/>
    <n v="2977.96"/>
    <n v="2977.96"/>
    <n v="0"/>
    <n v="1"/>
  </r>
  <r>
    <x v="3"/>
    <x v="0"/>
    <x v="2"/>
    <x v="2"/>
    <x v="1535"/>
    <x v="0"/>
    <x v="179"/>
    <n v="9968.2999999999993"/>
    <n v="9968.2999999999993"/>
    <n v="0"/>
    <n v="1"/>
  </r>
  <r>
    <x v="3"/>
    <x v="0"/>
    <x v="2"/>
    <x v="2"/>
    <x v="1536"/>
    <x v="0"/>
    <x v="472"/>
    <n v="474.72"/>
    <n v="474.72"/>
    <n v="0"/>
    <n v="1"/>
  </r>
  <r>
    <x v="3"/>
    <x v="0"/>
    <x v="2"/>
    <x v="2"/>
    <x v="1537"/>
    <x v="0"/>
    <x v="120"/>
    <n v="7418.79"/>
    <n v="7418.79"/>
    <n v="0"/>
    <n v="1"/>
  </r>
  <r>
    <x v="3"/>
    <x v="0"/>
    <x v="2"/>
    <x v="2"/>
    <x v="1538"/>
    <x v="0"/>
    <x v="114"/>
    <n v="32783.43"/>
    <n v="32783.43"/>
    <n v="0"/>
    <n v="1"/>
  </r>
  <r>
    <x v="3"/>
    <x v="0"/>
    <x v="2"/>
    <x v="2"/>
    <x v="1539"/>
    <x v="0"/>
    <x v="124"/>
    <n v="6568.64"/>
    <n v="6568.64"/>
    <n v="0"/>
    <n v="1"/>
  </r>
  <r>
    <x v="3"/>
    <x v="0"/>
    <x v="2"/>
    <x v="2"/>
    <x v="1540"/>
    <x v="0"/>
    <x v="90"/>
    <n v="8277.26"/>
    <n v="8277.26"/>
    <n v="0"/>
    <n v="1"/>
  </r>
  <r>
    <x v="3"/>
    <x v="0"/>
    <x v="2"/>
    <x v="2"/>
    <x v="1541"/>
    <x v="0"/>
    <x v="220"/>
    <n v="519.83000000000004"/>
    <n v="519.83000000000004"/>
    <n v="0"/>
    <n v="1"/>
  </r>
  <r>
    <x v="3"/>
    <x v="0"/>
    <x v="2"/>
    <x v="2"/>
    <x v="1542"/>
    <x v="0"/>
    <x v="112"/>
    <n v="2892.74"/>
    <n v="2892.74"/>
    <n v="0"/>
    <n v="1"/>
  </r>
  <r>
    <x v="3"/>
    <x v="2"/>
    <x v="6"/>
    <x v="23"/>
    <x v="1543"/>
    <x v="5"/>
    <x v="97"/>
    <n v="13798.33"/>
    <n v="13798.33"/>
    <n v="0"/>
    <n v="1"/>
  </r>
  <r>
    <x v="3"/>
    <x v="0"/>
    <x v="6"/>
    <x v="23"/>
    <x v="1544"/>
    <x v="0"/>
    <x v="358"/>
    <n v="2384.81"/>
    <n v="2384.81"/>
    <n v="0"/>
    <n v="1"/>
  </r>
  <r>
    <x v="3"/>
    <x v="0"/>
    <x v="6"/>
    <x v="23"/>
    <x v="1545"/>
    <x v="0"/>
    <x v="9"/>
    <n v="1931.58"/>
    <n v="1931.58"/>
    <n v="0"/>
    <n v="1"/>
  </r>
  <r>
    <x v="3"/>
    <x v="0"/>
    <x v="6"/>
    <x v="23"/>
    <x v="1546"/>
    <x v="0"/>
    <x v="86"/>
    <n v="107.72"/>
    <n v="107.72"/>
    <n v="0"/>
    <n v="1"/>
  </r>
  <r>
    <x v="3"/>
    <x v="0"/>
    <x v="6"/>
    <x v="23"/>
    <x v="1547"/>
    <x v="0"/>
    <x v="297"/>
    <n v="2432.59"/>
    <n v="2432.59"/>
    <n v="0"/>
    <n v="1"/>
  </r>
  <r>
    <x v="3"/>
    <x v="0"/>
    <x v="6"/>
    <x v="23"/>
    <x v="1548"/>
    <x v="0"/>
    <x v="153"/>
    <n v="7712.09"/>
    <n v="7712.09"/>
    <n v="0"/>
    <n v="1"/>
  </r>
  <r>
    <x v="3"/>
    <x v="0"/>
    <x v="6"/>
    <x v="23"/>
    <x v="1549"/>
    <x v="0"/>
    <x v="158"/>
    <n v="3331.02"/>
    <n v="3331.02"/>
    <n v="0"/>
    <n v="1"/>
  </r>
  <r>
    <x v="3"/>
    <x v="0"/>
    <x v="6"/>
    <x v="23"/>
    <x v="1550"/>
    <x v="0"/>
    <x v="38"/>
    <n v="1500.81"/>
    <n v="1500.81"/>
    <n v="0"/>
    <n v="1"/>
  </r>
  <r>
    <x v="3"/>
    <x v="0"/>
    <x v="6"/>
    <x v="23"/>
    <x v="1551"/>
    <x v="0"/>
    <x v="100"/>
    <n v="8367.1200000000008"/>
    <n v="8367.1200000000008"/>
    <n v="0"/>
    <n v="1"/>
  </r>
  <r>
    <x v="3"/>
    <x v="0"/>
    <x v="6"/>
    <x v="23"/>
    <x v="1552"/>
    <x v="0"/>
    <x v="99"/>
    <n v="2597.84"/>
    <n v="2597.84"/>
    <n v="0"/>
    <n v="1"/>
  </r>
  <r>
    <x v="3"/>
    <x v="0"/>
    <x v="6"/>
    <x v="23"/>
    <x v="1553"/>
    <x v="0"/>
    <x v="284"/>
    <n v="1755.81"/>
    <n v="1755.81"/>
    <n v="0"/>
    <n v="1"/>
  </r>
  <r>
    <x v="3"/>
    <x v="0"/>
    <x v="6"/>
    <x v="23"/>
    <x v="1554"/>
    <x v="0"/>
    <x v="97"/>
    <n v="11947.74"/>
    <n v="11947.74"/>
    <n v="0"/>
    <n v="1"/>
  </r>
  <r>
    <x v="3"/>
    <x v="0"/>
    <x v="6"/>
    <x v="23"/>
    <x v="1555"/>
    <x v="0"/>
    <x v="150"/>
    <n v="10976.83"/>
    <n v="10976.83"/>
    <n v="0"/>
    <n v="1"/>
  </r>
  <r>
    <x v="3"/>
    <x v="0"/>
    <x v="6"/>
    <x v="23"/>
    <x v="1556"/>
    <x v="0"/>
    <x v="98"/>
    <n v="3655.95"/>
    <n v="3655.95"/>
    <n v="0"/>
    <n v="1"/>
  </r>
  <r>
    <x v="3"/>
    <x v="0"/>
    <x v="6"/>
    <x v="23"/>
    <x v="1557"/>
    <x v="0"/>
    <x v="13"/>
    <n v="4406.8599999999997"/>
    <n v="4406.8599999999997"/>
    <n v="0"/>
    <n v="1"/>
  </r>
  <r>
    <x v="3"/>
    <x v="0"/>
    <x v="6"/>
    <x v="23"/>
    <x v="1558"/>
    <x v="0"/>
    <x v="404"/>
    <n v="2635.07"/>
    <n v="2635.07"/>
    <n v="0"/>
    <n v="1"/>
  </r>
  <r>
    <x v="3"/>
    <x v="0"/>
    <x v="6"/>
    <x v="23"/>
    <x v="1559"/>
    <x v="0"/>
    <x v="96"/>
    <n v="3068.7"/>
    <n v="3068.7"/>
    <n v="0"/>
    <n v="1"/>
  </r>
  <r>
    <x v="3"/>
    <x v="0"/>
    <x v="6"/>
    <x v="23"/>
    <x v="1560"/>
    <x v="0"/>
    <x v="106"/>
    <n v="9636.7199999999993"/>
    <n v="9636.7199999999993"/>
    <n v="0"/>
    <n v="1"/>
  </r>
  <r>
    <x v="3"/>
    <x v="0"/>
    <x v="6"/>
    <x v="23"/>
    <x v="1561"/>
    <x v="0"/>
    <x v="122"/>
    <n v="3545.22"/>
    <n v="3545.22"/>
    <n v="0"/>
    <n v="1"/>
  </r>
  <r>
    <x v="3"/>
    <x v="0"/>
    <x v="6"/>
    <x v="23"/>
    <x v="1562"/>
    <x v="0"/>
    <x v="108"/>
    <n v="7098.96"/>
    <n v="7098.96"/>
    <n v="0"/>
    <n v="1"/>
  </r>
  <r>
    <x v="3"/>
    <x v="0"/>
    <x v="6"/>
    <x v="23"/>
    <x v="1563"/>
    <x v="6"/>
    <x v="473"/>
    <n v="-27784.68"/>
    <n v="-27784.68"/>
    <n v="0"/>
    <n v="1"/>
  </r>
  <r>
    <x v="3"/>
    <x v="0"/>
    <x v="6"/>
    <x v="23"/>
    <x v="1564"/>
    <x v="0"/>
    <x v="181"/>
    <n v="6159.37"/>
    <n v="6159.37"/>
    <n v="0"/>
    <n v="1"/>
  </r>
  <r>
    <x v="3"/>
    <x v="0"/>
    <x v="6"/>
    <x v="23"/>
    <x v="1565"/>
    <x v="0"/>
    <x v="123"/>
    <n v="4522.66"/>
    <n v="4522.66"/>
    <n v="0"/>
    <n v="1"/>
  </r>
  <r>
    <x v="3"/>
    <x v="0"/>
    <x v="6"/>
    <x v="23"/>
    <x v="1566"/>
    <x v="0"/>
    <x v="13"/>
    <n v="2102.59"/>
    <n v="2102.59"/>
    <n v="0"/>
    <n v="1"/>
  </r>
  <r>
    <x v="3"/>
    <x v="0"/>
    <x v="6"/>
    <x v="23"/>
    <x v="1567"/>
    <x v="0"/>
    <x v="96"/>
    <n v="1368.93"/>
    <n v="1368.93"/>
    <n v="0"/>
    <n v="1"/>
  </r>
  <r>
    <x v="3"/>
    <x v="0"/>
    <x v="6"/>
    <x v="23"/>
    <x v="1568"/>
    <x v="0"/>
    <x v="90"/>
    <n v="4832.22"/>
    <n v="4832.22"/>
    <n v="0"/>
    <n v="1"/>
  </r>
  <r>
    <x v="3"/>
    <x v="0"/>
    <x v="6"/>
    <x v="23"/>
    <x v="1569"/>
    <x v="0"/>
    <x v="40"/>
    <n v="9180.57"/>
    <n v="9180.57"/>
    <n v="0"/>
    <n v="1"/>
  </r>
  <r>
    <x v="3"/>
    <x v="0"/>
    <x v="6"/>
    <x v="23"/>
    <x v="1570"/>
    <x v="0"/>
    <x v="97"/>
    <n v="20550.21"/>
    <n v="20550.21"/>
    <n v="0"/>
    <n v="1"/>
  </r>
  <r>
    <x v="3"/>
    <x v="0"/>
    <x v="6"/>
    <x v="23"/>
    <x v="1571"/>
    <x v="0"/>
    <x v="157"/>
    <n v="3573.27"/>
    <n v="3573.27"/>
    <n v="0"/>
    <n v="1"/>
  </r>
  <r>
    <x v="3"/>
    <x v="0"/>
    <x v="6"/>
    <x v="23"/>
    <x v="1572"/>
    <x v="0"/>
    <x v="123"/>
    <n v="4711.3999999999996"/>
    <n v="4711.3999999999996"/>
    <n v="0"/>
    <n v="1"/>
  </r>
  <r>
    <x v="3"/>
    <x v="0"/>
    <x v="6"/>
    <x v="23"/>
    <x v="1573"/>
    <x v="0"/>
    <x v="176"/>
    <n v="10878.94"/>
    <n v="10878.94"/>
    <n v="0"/>
    <n v="1"/>
  </r>
  <r>
    <x v="3"/>
    <x v="0"/>
    <x v="6"/>
    <x v="23"/>
    <x v="1574"/>
    <x v="0"/>
    <x v="71"/>
    <n v="630.55999999999995"/>
    <n v="630.55999999999995"/>
    <n v="0"/>
    <n v="1"/>
  </r>
  <r>
    <x v="3"/>
    <x v="0"/>
    <x v="6"/>
    <x v="23"/>
    <x v="1575"/>
    <x v="0"/>
    <x v="107"/>
    <n v="16864.75"/>
    <n v="16864.75"/>
    <n v="0"/>
    <n v="1"/>
  </r>
  <r>
    <x v="3"/>
    <x v="0"/>
    <x v="6"/>
    <x v="23"/>
    <x v="1576"/>
    <x v="0"/>
    <x v="183"/>
    <n v="5581.12"/>
    <n v="5581.12"/>
    <n v="0"/>
    <n v="1"/>
  </r>
  <r>
    <x v="3"/>
    <x v="0"/>
    <x v="6"/>
    <x v="23"/>
    <x v="1577"/>
    <x v="0"/>
    <x v="35"/>
    <n v="1884.2"/>
    <n v="1884.2"/>
    <n v="0"/>
    <n v="1"/>
  </r>
  <r>
    <x v="3"/>
    <x v="0"/>
    <x v="6"/>
    <x v="23"/>
    <x v="1578"/>
    <x v="0"/>
    <x v="316"/>
    <n v="1192.04"/>
    <n v="1192.04"/>
    <n v="0"/>
    <n v="1"/>
  </r>
  <r>
    <x v="3"/>
    <x v="0"/>
    <x v="6"/>
    <x v="23"/>
    <x v="1579"/>
    <x v="0"/>
    <x v="284"/>
    <n v="1895.58"/>
    <n v="1895.58"/>
    <n v="0"/>
    <n v="1"/>
  </r>
  <r>
    <x v="3"/>
    <x v="0"/>
    <x v="6"/>
    <x v="23"/>
    <x v="1580"/>
    <x v="0"/>
    <x v="275"/>
    <n v="4233.5600000000004"/>
    <n v="4233.5600000000004"/>
    <n v="0"/>
    <n v="1"/>
  </r>
  <r>
    <x v="3"/>
    <x v="0"/>
    <x v="6"/>
    <x v="23"/>
    <x v="1581"/>
    <x v="0"/>
    <x v="15"/>
    <n v="1708.18"/>
    <n v="1708.18"/>
    <n v="0"/>
    <n v="1"/>
  </r>
  <r>
    <x v="3"/>
    <x v="0"/>
    <x v="6"/>
    <x v="23"/>
    <x v="1582"/>
    <x v="0"/>
    <x v="17"/>
    <n v="2674.28"/>
    <n v="2674.28"/>
    <n v="0"/>
    <n v="1"/>
  </r>
  <r>
    <x v="3"/>
    <x v="0"/>
    <x v="6"/>
    <x v="23"/>
    <x v="1583"/>
    <x v="0"/>
    <x v="19"/>
    <n v="2869.63"/>
    <n v="2869.63"/>
    <n v="0"/>
    <n v="1"/>
  </r>
  <r>
    <x v="3"/>
    <x v="0"/>
    <x v="6"/>
    <x v="23"/>
    <x v="1584"/>
    <x v="0"/>
    <x v="468"/>
    <n v="3432.84"/>
    <n v="3432.84"/>
    <n v="0"/>
    <n v="1"/>
  </r>
  <r>
    <x v="3"/>
    <x v="0"/>
    <x v="6"/>
    <x v="23"/>
    <x v="1585"/>
    <x v="0"/>
    <x v="70"/>
    <n v="1175.76"/>
    <n v="1175.76"/>
    <n v="0"/>
    <n v="1"/>
  </r>
  <r>
    <x v="3"/>
    <x v="0"/>
    <x v="6"/>
    <x v="23"/>
    <x v="1586"/>
    <x v="0"/>
    <x v="87"/>
    <n v="1499.92"/>
    <n v="1499.92"/>
    <n v="0"/>
    <n v="1"/>
  </r>
  <r>
    <x v="3"/>
    <x v="0"/>
    <x v="6"/>
    <x v="23"/>
    <x v="1587"/>
    <x v="0"/>
    <x v="474"/>
    <n v="2821.94"/>
    <n v="2821.94"/>
    <n v="0"/>
    <n v="1"/>
  </r>
  <r>
    <x v="3"/>
    <x v="0"/>
    <x v="6"/>
    <x v="23"/>
    <x v="1588"/>
    <x v="0"/>
    <x v="368"/>
    <n v="1761.52"/>
    <n v="1761.52"/>
    <n v="0"/>
    <n v="1"/>
  </r>
  <r>
    <x v="3"/>
    <x v="0"/>
    <x v="6"/>
    <x v="23"/>
    <x v="1589"/>
    <x v="0"/>
    <x v="279"/>
    <n v="4169.21"/>
    <n v="4169.21"/>
    <n v="0"/>
    <n v="1"/>
  </r>
  <r>
    <x v="3"/>
    <x v="0"/>
    <x v="6"/>
    <x v="23"/>
    <x v="1590"/>
    <x v="0"/>
    <x v="475"/>
    <n v="2737.61"/>
    <n v="2737.61"/>
    <n v="0"/>
    <n v="1"/>
  </r>
  <r>
    <x v="3"/>
    <x v="0"/>
    <x v="6"/>
    <x v="23"/>
    <x v="1591"/>
    <x v="0"/>
    <x v="21"/>
    <n v="1755.14"/>
    <n v="1755.14"/>
    <n v="0"/>
    <n v="1"/>
  </r>
  <r>
    <x v="3"/>
    <x v="0"/>
    <x v="6"/>
    <x v="23"/>
    <x v="1592"/>
    <x v="0"/>
    <x v="336"/>
    <n v="1569.44"/>
    <n v="1569.44"/>
    <n v="0"/>
    <n v="1"/>
  </r>
  <r>
    <x v="3"/>
    <x v="0"/>
    <x v="6"/>
    <x v="23"/>
    <x v="1593"/>
    <x v="0"/>
    <x v="2"/>
    <n v="3269.86"/>
    <n v="3269.86"/>
    <n v="0"/>
    <n v="1"/>
  </r>
  <r>
    <x v="3"/>
    <x v="0"/>
    <x v="6"/>
    <x v="23"/>
    <x v="1594"/>
    <x v="0"/>
    <x v="43"/>
    <n v="5415.65"/>
    <n v="5415.65"/>
    <n v="0"/>
    <n v="1"/>
  </r>
  <r>
    <x v="3"/>
    <x v="0"/>
    <x v="6"/>
    <x v="23"/>
    <x v="1595"/>
    <x v="0"/>
    <x v="117"/>
    <n v="4335.41"/>
    <n v="4335.41"/>
    <n v="0"/>
    <n v="1"/>
  </r>
  <r>
    <x v="3"/>
    <x v="0"/>
    <x v="6"/>
    <x v="23"/>
    <x v="1596"/>
    <x v="0"/>
    <x v="113"/>
    <n v="11723.55"/>
    <n v="11723.55"/>
    <n v="0"/>
    <n v="1"/>
  </r>
  <r>
    <x v="3"/>
    <x v="0"/>
    <x v="6"/>
    <x v="23"/>
    <x v="1597"/>
    <x v="6"/>
    <x v="476"/>
    <n v="-8666.08"/>
    <n v="-8666.08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40B96-B554-4024-BD31-AB686FF1FB4F}" name="Pendencias" cacheId="10" applyNumberFormats="0" applyBorderFormats="0" applyFontFormats="0" applyPatternFormats="0" applyAlignmentFormats="0" applyWidthHeightFormats="1" dataCaption="Valores" updatedVersion="8" minRefreshableVersion="3" showDrill="0" useAutoFormatting="1" rowGrandTotals="0" itemPrintTitles="1" createdVersion="6" indent="0" compact="0" compactData="0" multipleFieldFilters="0">
  <location ref="B18:H29" firstHeaderRow="1" firstDataRow="1" firstDataCol="6"/>
  <pivotFields count="11">
    <pivotField axis="axisRow" compact="0" outline="0" multipleItemSelectionAllowed="1" showAll="0" defaultSubtotal="0">
      <items count="4">
        <item h="1"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">
        <item x="7"/>
        <item x="8"/>
        <item x="9"/>
        <item x="10"/>
        <item x="4"/>
        <item x="0"/>
        <item x="11"/>
        <item x="12"/>
        <item x="13"/>
        <item x="5"/>
        <item x="14"/>
        <item x="15"/>
        <item x="16"/>
        <item x="17"/>
        <item x="1"/>
        <item x="18"/>
        <item x="19"/>
        <item x="20"/>
        <item x="21"/>
        <item x="22"/>
        <item x="23"/>
        <item x="2"/>
        <item x="6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">
        <item x="5"/>
        <item x="6"/>
        <item x="7"/>
        <item x="8"/>
        <item x="9"/>
        <item x="0"/>
        <item x="10"/>
        <item x="11"/>
        <item x="12"/>
        <item x="13"/>
        <item x="14"/>
        <item x="15"/>
        <item x="16"/>
        <item x="17"/>
        <item x="1"/>
        <item x="18"/>
        <item x="19"/>
        <item x="20"/>
        <item x="21"/>
        <item x="22"/>
        <item x="3"/>
        <item x="2"/>
        <item x="2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98">
        <item x="1358"/>
        <item x="282"/>
        <item x="121"/>
        <item x="1476"/>
        <item x="668"/>
        <item x="195"/>
        <item x="127"/>
        <item x="131"/>
        <item x="134"/>
        <item x="115"/>
        <item x="113"/>
        <item x="95"/>
        <item x="98"/>
        <item x="203"/>
        <item x="1521"/>
        <item x="97"/>
        <item x="689"/>
        <item x="219"/>
        <item x="223"/>
        <item x="202"/>
        <item x="571"/>
        <item x="281"/>
        <item x="135"/>
        <item x="308"/>
        <item x="242"/>
        <item x="289"/>
        <item x="685"/>
        <item x="1470"/>
        <item x="1562"/>
        <item x="424"/>
        <item x="426"/>
        <item x="1084"/>
        <item x="1268"/>
        <item x="662"/>
        <item x="1269"/>
        <item x="459"/>
        <item x="471"/>
        <item x="666"/>
        <item x="667"/>
        <item x="575"/>
        <item x="975"/>
        <item x="679"/>
        <item x="688"/>
        <item x="428"/>
        <item x="1500"/>
        <item x="671"/>
        <item x="107"/>
        <item x="1067"/>
        <item x="672"/>
        <item x="844"/>
        <item x="845"/>
        <item x="1061"/>
        <item x="790"/>
        <item x="901"/>
        <item x="847"/>
        <item x="942"/>
        <item x="838"/>
        <item x="1075"/>
        <item x="974"/>
        <item x="973"/>
        <item x="130"/>
        <item x="1057"/>
        <item x="1056"/>
        <item x="1036"/>
        <item x="1037"/>
        <item x="1160"/>
        <item x="118"/>
        <item x="1162"/>
        <item x="1"/>
        <item x="1482"/>
        <item x="1300"/>
        <item x="104"/>
        <item x="1208"/>
        <item x="1053"/>
        <item x="116"/>
        <item x="1420"/>
        <item x="1415"/>
        <item x="1127"/>
        <item x="1283"/>
        <item x="1281"/>
        <item x="1338"/>
        <item x="48"/>
        <item x="1340"/>
        <item x="1564"/>
        <item x="1565"/>
        <item x="142"/>
        <item x="416"/>
        <item x="431"/>
        <item x="0"/>
        <item x="8"/>
        <item x="119"/>
        <item x="128"/>
        <item x="268"/>
        <item x="1359"/>
        <item x="99"/>
        <item x="94"/>
        <item x="1363"/>
        <item x="51"/>
        <item x="179"/>
        <item x="1517"/>
        <item x="173"/>
        <item x="1357"/>
        <item x="110"/>
        <item x="1350"/>
        <item x="149"/>
        <item x="446"/>
        <item x="176"/>
        <item x="1390"/>
        <item x="803"/>
        <item x="123"/>
        <item x="240"/>
        <item x="812"/>
        <item x="136"/>
        <item x="227"/>
        <item x="132"/>
        <item x="126"/>
        <item x="272"/>
        <item x="1568"/>
        <item x="145"/>
        <item x="230"/>
        <item x="252"/>
        <item x="851"/>
        <item x="244"/>
        <item x="231"/>
        <item x="150"/>
        <item x="314"/>
        <item x="249"/>
        <item x="392"/>
        <item x="300"/>
        <item x="337"/>
        <item x="206"/>
        <item x="274"/>
        <item x="1572"/>
        <item x="787"/>
        <item x="334"/>
        <item x="572"/>
        <item x="381"/>
        <item x="568"/>
        <item x="341"/>
        <item x="360"/>
        <item x="658"/>
        <item x="261"/>
        <item x="46"/>
        <item x="382"/>
        <item x="376"/>
        <item x="373"/>
        <item x="506"/>
        <item x="139"/>
        <item x="371"/>
        <item x="512"/>
        <item x="401"/>
        <item x="791"/>
        <item x="387"/>
        <item x="26"/>
        <item x="784"/>
        <item x="564"/>
        <item x="468"/>
        <item x="562"/>
        <item x="469"/>
        <item x="663"/>
        <item x="364"/>
        <item x="346"/>
        <item x="573"/>
        <item x="776"/>
        <item x="623"/>
        <item x="821"/>
        <item x="478"/>
        <item x="577"/>
        <item x="263"/>
        <item x="189"/>
        <item x="801"/>
        <item x="618"/>
        <item x="622"/>
        <item x="624"/>
        <item x="579"/>
        <item x="199"/>
        <item x="884"/>
        <item x="221"/>
        <item x="617"/>
        <item x="793"/>
        <item x="338"/>
        <item x="792"/>
        <item x="21"/>
        <item x="395"/>
        <item x="353"/>
        <item x="82"/>
        <item x="28"/>
        <item x="38"/>
        <item x="799"/>
        <item x="868"/>
        <item x="1230"/>
        <item x="25"/>
        <item x="388"/>
        <item x="377"/>
        <item x="1017"/>
        <item x="363"/>
        <item x="124"/>
        <item x="400"/>
        <item x="783"/>
        <item x="769"/>
        <item x="1401"/>
        <item x="31"/>
        <item x="500"/>
        <item x="768"/>
        <item x="858"/>
        <item x="863"/>
        <item x="73"/>
        <item x="352"/>
        <item x="447"/>
        <item x="444"/>
        <item x="504"/>
        <item x="166"/>
        <item x="780"/>
        <item x="503"/>
        <item x="187"/>
        <item x="771"/>
        <item x="222"/>
        <item x="822"/>
        <item x="878"/>
        <item x="33"/>
        <item x="29"/>
        <item x="903"/>
        <item x="872"/>
        <item x="813"/>
        <item x="797"/>
        <item x="192"/>
        <item x="943"/>
        <item x="877"/>
        <item x="434"/>
        <item x="501"/>
        <item x="1417"/>
        <item x="630"/>
        <item x="991"/>
        <item x="909"/>
        <item x="214"/>
        <item x="941"/>
        <item x="44"/>
        <item x="986"/>
        <item x="329"/>
        <item x="1163"/>
        <item x="1210"/>
        <item x="322"/>
        <item x="288"/>
        <item x="297"/>
        <item x="315"/>
        <item x="335"/>
        <item x="939"/>
        <item x="10"/>
        <item x="800"/>
        <item x="778"/>
        <item x="1081"/>
        <item x="12"/>
        <item x="1078"/>
        <item x="788"/>
        <item x="293"/>
        <item x="30"/>
        <item x="358"/>
        <item x="1074"/>
        <item x="770"/>
        <item x="1069"/>
        <item x="37"/>
        <item x="137"/>
        <item x="1060"/>
        <item x="24"/>
        <item x="450"/>
        <item x="393"/>
        <item x="1339"/>
        <item x="674"/>
        <item x="1062"/>
        <item x="673"/>
        <item x="1063"/>
        <item x="1183"/>
        <item x="47"/>
        <item x="519"/>
        <item x="152"/>
        <item x="850"/>
        <item x="15"/>
        <item x="1276"/>
        <item x="1073"/>
        <item x="74"/>
        <item x="196"/>
        <item x="1076"/>
        <item x="49"/>
        <item x="1080"/>
        <item x="683"/>
        <item x="1083"/>
        <item x="684"/>
        <item x="1085"/>
        <item x="1180"/>
        <item x="686"/>
        <item x="687"/>
        <item x="1178"/>
        <item x="1481"/>
        <item x="435"/>
        <item x="1211"/>
        <item x="224"/>
        <item x="676"/>
        <item x="1039"/>
        <item x="1055"/>
        <item x="88"/>
        <item x="1045"/>
        <item x="1047"/>
        <item x="1164"/>
        <item x="582"/>
        <item x="1477"/>
        <item x="188"/>
        <item x="947"/>
        <item x="451"/>
        <item x="938"/>
        <item x="609"/>
        <item x="260"/>
        <item x="1273"/>
        <item x="1202"/>
        <item x="183"/>
        <item x="550"/>
        <item x="1275"/>
        <item x="596"/>
        <item x="1308"/>
        <item x="1270"/>
        <item x="902"/>
        <item x="259"/>
        <item x="1307"/>
        <item x="298"/>
        <item x="1277"/>
        <item x="1221"/>
        <item x="1303"/>
        <item x="1279"/>
        <item x="321"/>
        <item x="626"/>
        <item x="981"/>
        <item x="1301"/>
        <item x="648"/>
        <item x="1245"/>
        <item x="553"/>
        <item x="275"/>
        <item x="496"/>
        <item x="1483"/>
        <item x="1139"/>
        <item x="756"/>
        <item x="370"/>
        <item x="399"/>
        <item x="691"/>
        <item x="1457"/>
        <item x="9"/>
        <item x="83"/>
        <item x="361"/>
        <item x="384"/>
        <item x="1436"/>
        <item x="736"/>
        <item x="344"/>
        <item x="362"/>
        <item x="1434"/>
        <item x="76"/>
        <item x="23"/>
        <item x="1432"/>
        <item x="386"/>
        <item x="77"/>
        <item x="646"/>
        <item x="1431"/>
        <item x="747"/>
        <item x="1430"/>
        <item x="1519"/>
        <item x="1428"/>
        <item x="356"/>
        <item x="923"/>
        <item x="453"/>
        <item x="920"/>
        <item x="86"/>
        <item x="1424"/>
        <item x="365"/>
        <item x="369"/>
        <item x="429"/>
        <item x="163"/>
        <item x="1110"/>
        <item x="1421"/>
        <item x="1523"/>
        <item x="1115"/>
        <item x="1458"/>
        <item x="406"/>
        <item x="762"/>
        <item x="1526"/>
        <item x="1419"/>
        <item x="448"/>
        <item x="1290"/>
        <item x="848"/>
        <item x="1528"/>
        <item x="730"/>
        <item x="702"/>
        <item x="754"/>
        <item x="807"/>
        <item x="1435"/>
        <item x="1532"/>
        <item x="586"/>
        <item x="494"/>
        <item x="1014"/>
        <item x="1534"/>
        <item x="701"/>
        <item x="164"/>
        <item x="185"/>
        <item x="561"/>
        <item x="697"/>
        <item x="1537"/>
        <item x="226"/>
        <item x="1335"/>
        <item x="213"/>
        <item x="1552"/>
        <item x="524"/>
        <item x="1538"/>
        <item x="1453"/>
        <item x="408"/>
        <item x="543"/>
        <item x="820"/>
        <item x="1513"/>
        <item x="692"/>
        <item x="552"/>
        <item x="215"/>
        <item x="1560"/>
        <item x="739"/>
        <item x="1026"/>
        <item x="1542"/>
        <item x="235"/>
        <item x="1540"/>
        <item x="905"/>
        <item x="207"/>
        <item x="1226"/>
        <item x="897"/>
        <item x="1558"/>
        <item x="1514"/>
        <item x="825"/>
        <item x="737"/>
        <item x="554"/>
        <item x="255"/>
        <item x="611"/>
        <item x="1451"/>
        <item x="270"/>
        <item x="1493"/>
        <item x="264"/>
        <item x="599"/>
        <item x="514"/>
        <item x="257"/>
        <item x="271"/>
        <item x="1486"/>
        <item x="279"/>
        <item x="870"/>
        <item x="523"/>
        <item x="818"/>
        <item x="951"/>
        <item x="1330"/>
        <item x="1236"/>
        <item x="276"/>
        <item x="280"/>
        <item x="895"/>
        <item x="633"/>
        <item x="690"/>
        <item x="979"/>
        <item x="588"/>
        <item x="317"/>
        <item x="1596"/>
        <item x="1013"/>
        <item x="652"/>
        <item x="946"/>
        <item x="836"/>
        <item x="542"/>
        <item x="638"/>
        <item x="1233"/>
        <item x="594"/>
        <item x="336"/>
        <item x="608"/>
        <item x="696"/>
        <item x="1447"/>
        <item x="1331"/>
        <item x="1446"/>
        <item x="457"/>
        <item x="693"/>
        <item x="729"/>
        <item x="1133"/>
        <item x="342"/>
        <item x="1141"/>
        <item x="433"/>
        <item x="1445"/>
        <item x="407"/>
        <item x="367"/>
        <item x="749"/>
        <item x="458"/>
        <item x="704"/>
        <item x="1132"/>
        <item x="380"/>
        <item x="1124"/>
        <item x="1089"/>
        <item x="1050"/>
        <item x="1048"/>
        <item x="755"/>
        <item x="452"/>
        <item x="751"/>
        <item x="1510"/>
        <item x="1030"/>
        <item x="397"/>
        <item x="1441"/>
        <item x="489"/>
        <item x="835"/>
        <item x="1595"/>
        <item x="744"/>
        <item x="1490"/>
        <item x="466"/>
        <item x="517"/>
        <item x="750"/>
        <item x="510"/>
        <item x="1151"/>
        <item x="1068"/>
        <item x="485"/>
        <item x="487"/>
        <item x="804"/>
        <item x="1161"/>
        <item x="1059"/>
        <item x="853"/>
        <item x="1439"/>
        <item x="479"/>
        <item x="805"/>
        <item x="907"/>
        <item x="1444"/>
        <item x="708"/>
        <item x="728"/>
        <item x="1145"/>
        <item x="1098"/>
        <item x="1341"/>
        <item x="539"/>
        <item x="906"/>
        <item x="1229"/>
        <item x="1150"/>
        <item x="1181"/>
        <item x="538"/>
        <item x="1450"/>
        <item x="1485"/>
        <item x="559"/>
        <item x="1594"/>
        <item x="545"/>
        <item x="932"/>
        <item x="1185"/>
        <item x="590"/>
        <item x="922"/>
        <item x="886"/>
        <item x="881"/>
        <item x="1334"/>
        <item x="587"/>
        <item x="1191"/>
        <item x="929"/>
        <item x="1253"/>
        <item x="1254"/>
        <item x="1256"/>
        <item x="613"/>
        <item x="595"/>
        <item x="604"/>
        <item x="589"/>
        <item x="962"/>
        <item x="631"/>
        <item x="1422"/>
        <item x="634"/>
        <item x="971"/>
        <item x="653"/>
        <item x="645"/>
        <item x="933"/>
        <item x="874"/>
        <item x="958"/>
        <item x="629"/>
        <item x="1593"/>
        <item x="641"/>
        <item x="1304"/>
        <item x="970"/>
        <item x="990"/>
        <item x="1302"/>
        <item x="637"/>
        <item x="931"/>
        <item x="1305"/>
        <item x="627"/>
        <item x="1592"/>
        <item x="1289"/>
        <item x="1294"/>
        <item x="1028"/>
        <item x="695"/>
        <item x="1479"/>
        <item x="1473"/>
        <item x="1471"/>
        <item x="1112"/>
        <item x="997"/>
        <item x="1071"/>
        <item x="759"/>
        <item x="734"/>
        <item x="1135"/>
        <item x="735"/>
        <item x="1106"/>
        <item x="1016"/>
        <item x="1019"/>
        <item x="1464"/>
        <item x="1460"/>
        <item x="1212"/>
        <item x="1187"/>
        <item x="1186"/>
        <item x="1182"/>
        <item x="856"/>
        <item x="1184"/>
        <item x="859"/>
        <item x="1006"/>
        <item x="1491"/>
        <item x="1348"/>
        <item x="1484"/>
        <item x="1020"/>
        <item x="855"/>
        <item x="814"/>
        <item x="1101"/>
        <item x="1216"/>
        <item x="1591"/>
        <item x="867"/>
        <item x="1364"/>
        <item x="1353"/>
        <item x="1589"/>
        <item x="1525"/>
        <item x="1082"/>
        <item x="2"/>
        <item x="1588"/>
        <item x="899"/>
        <item x="1249"/>
        <item x="1587"/>
        <item x="880"/>
        <item x="1352"/>
        <item x="1232"/>
        <item x="1192"/>
        <item x="1174"/>
        <item x="1264"/>
        <item x="918"/>
        <item x="1197"/>
        <item x="930"/>
        <item x="921"/>
        <item x="1585"/>
        <item x="1240"/>
        <item x="956"/>
        <item x="955"/>
        <item x="927"/>
        <item x="936"/>
        <item x="1309"/>
        <item x="1262"/>
        <item x="993"/>
        <item x="1312"/>
        <item x="961"/>
        <item x="963"/>
        <item x="1257"/>
        <item x="967"/>
        <item x="1220"/>
        <item x="1260"/>
        <item x="1314"/>
        <item x="1366"/>
        <item x="1316"/>
        <item x="959"/>
        <item x="984"/>
        <item x="1261"/>
        <item x="1288"/>
        <item x="1206"/>
        <item x="1402"/>
        <item x="988"/>
        <item x="1584"/>
        <item x="1024"/>
        <item x="1405"/>
        <item x="1104"/>
        <item x="1408"/>
        <item x="1018"/>
        <item x="1410"/>
        <item x="1102"/>
        <item x="1097"/>
        <item x="1023"/>
        <item x="999"/>
        <item x="1413"/>
        <item x="1392"/>
        <item x="1414"/>
        <item x="1099"/>
        <item x="1001"/>
        <item x="1389"/>
        <item x="1054"/>
        <item x="1371"/>
        <item x="1372"/>
        <item x="1496"/>
        <item x="1374"/>
        <item x="1193"/>
        <item x="1199"/>
        <item x="1501"/>
        <item x="1155"/>
        <item x="1502"/>
        <item x="1251"/>
        <item x="1217"/>
        <item x="1581"/>
        <item x="1379"/>
        <item x="1381"/>
        <item x="1383"/>
        <item x="1252"/>
        <item x="1250"/>
        <item x="1246"/>
        <item x="1385"/>
        <item x="1342"/>
        <item x="1332"/>
        <item x="1578"/>
        <item x="1577"/>
        <item x="1574"/>
        <item x="1333"/>
        <item x="1296"/>
        <item x="1287"/>
        <item x="1459"/>
        <item x="1388"/>
        <item x="1382"/>
        <item x="1377"/>
        <item x="1399"/>
        <item x="1398"/>
        <item x="1361"/>
        <item x="1386"/>
        <item x="1354"/>
        <item x="1346"/>
        <item x="1478"/>
        <item x="1433"/>
        <item x="1509"/>
        <item x="1498"/>
        <item x="1494"/>
        <item x="1492"/>
        <item x="1512"/>
        <item x="1545"/>
        <item x="1548"/>
        <item x="117"/>
        <item x="243"/>
        <item x="197"/>
        <item x="103"/>
        <item x="105"/>
        <item x="100"/>
        <item x="200"/>
        <item x="209"/>
        <item x="205"/>
        <item x="480"/>
        <item x="565"/>
        <item x="141"/>
        <item x="423"/>
        <item x="425"/>
        <item x="476"/>
        <item x="1466"/>
        <item x="475"/>
        <item x="1079"/>
        <item x="614"/>
        <item x="472"/>
        <item x="483"/>
        <item x="615"/>
        <item x="680"/>
        <item x="677"/>
        <item x="42"/>
        <item x="660"/>
        <item x="675"/>
        <item x="669"/>
        <item x="1070"/>
        <item x="670"/>
        <item x="842"/>
        <item x="849"/>
        <item x="581"/>
        <item x="862"/>
        <item x="869"/>
        <item x="147"/>
        <item x="894"/>
        <item x="911"/>
        <item x="1041"/>
        <item x="1043"/>
        <item x="1336"/>
        <item x="125"/>
        <item x="220"/>
        <item x="1088"/>
        <item x="1086"/>
        <item x="1173"/>
        <item x="278"/>
        <item x="1280"/>
        <item x="1159"/>
        <item x="1322"/>
        <item x="186"/>
        <item x="1274"/>
        <item x="14"/>
        <item x="1356"/>
        <item x="39"/>
        <item x="122"/>
        <item x="1351"/>
        <item x="146"/>
        <item x="1170"/>
        <item x="144"/>
        <item x="1362"/>
        <item x="120"/>
        <item x="112"/>
        <item x="1393"/>
        <item x="505"/>
        <item x="585"/>
        <item x="232"/>
        <item x="178"/>
        <item x="1394"/>
        <item x="436"/>
        <item x="237"/>
        <item x="1569"/>
        <item x="247"/>
        <item x="1516"/>
        <item x="181"/>
        <item x="277"/>
        <item x="248"/>
        <item x="1570"/>
        <item x="193"/>
        <item x="1518"/>
        <item x="229"/>
        <item x="398"/>
        <item x="250"/>
        <item x="312"/>
        <item x="258"/>
        <item x="502"/>
        <item x="1543"/>
        <item x="238"/>
        <item x="328"/>
        <item x="1571"/>
        <item x="366"/>
        <item x="368"/>
        <item x="18"/>
        <item x="389"/>
        <item x="518"/>
        <item x="460"/>
        <item x="567"/>
        <item x="354"/>
        <item x="569"/>
        <item x="570"/>
        <item x="665"/>
        <item x="470"/>
        <item x="574"/>
        <item x="174"/>
        <item x="621"/>
        <item x="138"/>
        <item x="828"/>
        <item x="267"/>
        <item x="625"/>
        <item x="576"/>
        <item x="620"/>
        <item x="664"/>
        <item x="580"/>
        <item x="659"/>
        <item x="1267"/>
        <item x="560"/>
        <item x="482"/>
        <item x="876"/>
        <item x="789"/>
        <item x="795"/>
        <item x="796"/>
        <item x="320"/>
        <item x="994"/>
        <item x="114"/>
        <item x="785"/>
        <item x="1002"/>
        <item x="177"/>
        <item x="151"/>
        <item x="798"/>
        <item x="852"/>
        <item x="782"/>
        <item x="857"/>
        <item x="802"/>
        <item x="84"/>
        <item x="830"/>
        <item x="829"/>
        <item x="910"/>
        <item x="50"/>
        <item x="819"/>
        <item x="379"/>
        <item x="225"/>
        <item x="883"/>
        <item x="824"/>
        <item x="944"/>
        <item x="253"/>
        <item x="945"/>
        <item x="304"/>
        <item x="1205"/>
        <item x="960"/>
        <item x="940"/>
        <item x="405"/>
        <item x="172"/>
        <item x="551"/>
        <item x="89"/>
        <item x="93"/>
        <item x="786"/>
        <item x="19"/>
        <item x="1072"/>
        <item x="385"/>
        <item x="1114"/>
        <item x="301"/>
        <item x="766"/>
        <item x="111"/>
        <item x="1064"/>
        <item x="45"/>
        <item x="351"/>
        <item x="1467"/>
        <item x="390"/>
        <item x="1284"/>
        <item x="491"/>
        <item x="678"/>
        <item x="1190"/>
        <item x="1463"/>
        <item x="403"/>
        <item x="490"/>
        <item x="681"/>
        <item x="411"/>
        <item x="1194"/>
        <item x="682"/>
        <item x="1462"/>
        <item x="1201"/>
        <item x="161"/>
        <item x="537"/>
        <item x="170"/>
        <item x="357"/>
        <item x="156"/>
        <item x="1035"/>
        <item x="184"/>
        <item x="1040"/>
        <item x="555"/>
        <item x="234"/>
        <item x="1480"/>
        <item x="912"/>
        <item x="1209"/>
        <item x="888"/>
        <item x="522"/>
        <item x="602"/>
        <item x="1213"/>
        <item x="1176"/>
        <item x="208"/>
        <item x="591"/>
        <item x="1171"/>
        <item x="1515"/>
        <item x="817"/>
        <item x="484"/>
        <item x="212"/>
        <item x="953"/>
        <item x="437"/>
        <item x="1306"/>
        <item x="985"/>
        <item x="309"/>
        <item x="1318"/>
        <item x="1272"/>
        <item x="239"/>
        <item x="885"/>
        <item x="1461"/>
        <item x="743"/>
        <item x="404"/>
        <item x="741"/>
        <item x="738"/>
        <item x="1561"/>
        <item x="140"/>
        <item x="1094"/>
        <item x="34"/>
        <item x="87"/>
        <item x="22"/>
        <item x="359"/>
        <item x="761"/>
        <item x="79"/>
        <item x="81"/>
        <item x="40"/>
        <item x="143"/>
        <item x="1105"/>
        <item x="91"/>
        <item x="1108"/>
        <item x="1522"/>
        <item x="198"/>
        <item x="159"/>
        <item x="758"/>
        <item x="1527"/>
        <item x="507"/>
        <item x="515"/>
        <item x="860"/>
        <item x="1539"/>
        <item x="499"/>
        <item x="815"/>
        <item x="190"/>
        <item x="1535"/>
        <item x="1438"/>
        <item x="194"/>
        <item x="461"/>
        <item x="651"/>
        <item x="632"/>
        <item x="160"/>
        <item x="1454"/>
        <item x="1228"/>
        <item x="760"/>
        <item x="823"/>
        <item x="217"/>
        <item x="1012"/>
        <item x="709"/>
        <item x="806"/>
        <item x="557"/>
        <item x="1223"/>
        <item x="890"/>
        <item x="245"/>
        <item x="980"/>
        <item x="597"/>
        <item x="463"/>
        <item x="908"/>
        <item x="273"/>
        <item x="950"/>
        <item x="266"/>
        <item x="866"/>
        <item x="498"/>
        <item x="1554"/>
        <item x="262"/>
        <item x="1214"/>
        <item x="1575"/>
        <item x="879"/>
        <item x="1576"/>
        <item x="871"/>
        <item x="290"/>
        <item x="318"/>
        <item x="889"/>
        <item x="325"/>
        <item x="1271"/>
        <item x="1109"/>
        <item x="698"/>
        <item x="455"/>
        <item x="1103"/>
        <item x="343"/>
        <item x="1093"/>
        <item x="746"/>
        <item x="409"/>
        <item x="438"/>
        <item x="705"/>
        <item x="375"/>
        <item x="1147"/>
        <item x="1120"/>
        <item x="1129"/>
        <item x="441"/>
        <item x="1443"/>
        <item x="1122"/>
        <item x="1442"/>
        <item x="1051"/>
        <item x="445"/>
        <item x="348"/>
        <item x="1154"/>
        <item x="707"/>
        <item x="864"/>
        <item x="1153"/>
        <item x="1298"/>
        <item x="516"/>
        <item x="1488"/>
        <item x="511"/>
        <item x="495"/>
        <item x="839"/>
        <item x="1440"/>
        <item x="497"/>
        <item x="753"/>
        <item x="486"/>
        <item x="765"/>
        <item x="1107"/>
        <item x="549"/>
        <item x="1448"/>
        <item x="1449"/>
        <item x="1219"/>
        <item x="1005"/>
        <item x="540"/>
        <item x="525"/>
        <item x="558"/>
        <item x="727"/>
        <item x="919"/>
        <item x="606"/>
        <item x="1227"/>
        <item x="610"/>
        <item x="1188"/>
        <item x="952"/>
        <item x="584"/>
        <item x="1437"/>
        <item x="1530"/>
        <item x="1198"/>
        <item x="598"/>
        <item x="1258"/>
        <item x="934"/>
        <item x="1524"/>
        <item x="1266"/>
        <item x="1224"/>
        <item x="915"/>
        <item x="954"/>
        <item x="965"/>
        <item x="1299"/>
        <item x="1237"/>
        <item x="656"/>
        <item x="937"/>
        <item x="1111"/>
        <item x="1100"/>
        <item x="1113"/>
        <item x="1259"/>
        <item x="1475"/>
        <item x="1000"/>
        <item x="733"/>
        <item x="748"/>
        <item x="726"/>
        <item x="1021"/>
        <item x="1008"/>
        <item x="1189"/>
        <item x="1416"/>
        <item x="1472"/>
        <item x="1158"/>
        <item x="832"/>
        <item x="1505"/>
        <item x="841"/>
        <item x="1022"/>
        <item x="808"/>
        <item x="1347"/>
        <item x="1177"/>
        <item x="1503"/>
        <item x="1010"/>
        <item x="1590"/>
        <item x="1244"/>
        <item x="1215"/>
        <item x="1065"/>
        <item x="893"/>
        <item x="887"/>
        <item x="1367"/>
        <item x="916"/>
        <item x="924"/>
        <item x="914"/>
        <item x="925"/>
        <item x="949"/>
        <item x="913"/>
        <item x="1169"/>
        <item x="957"/>
        <item x="964"/>
        <item x="987"/>
        <item x="1265"/>
        <item x="992"/>
        <item x="1297"/>
        <item x="982"/>
        <item x="1407"/>
        <item x="1409"/>
        <item x="1128"/>
        <item x="1015"/>
        <item x="1391"/>
        <item x="996"/>
        <item x="1368"/>
        <item x="1369"/>
        <item x="1370"/>
        <item x="1499"/>
        <item x="1195"/>
        <item x="1583"/>
        <item x="1242"/>
        <item x="1508"/>
        <item x="1580"/>
        <item x="1579"/>
        <item x="1247"/>
        <item x="1235"/>
        <item x="1243"/>
        <item x="1317"/>
        <item x="1553"/>
        <item x="1325"/>
        <item x="1293"/>
        <item x="1295"/>
        <item x="1286"/>
        <item x="1456"/>
        <item x="1380"/>
        <item x="1378"/>
        <item x="1376"/>
        <item x="1403"/>
        <item x="1387"/>
        <item x="1360"/>
        <item x="1495"/>
        <item x="1487"/>
        <item x="1533"/>
        <item x="1544"/>
        <item x="1550"/>
        <item x="1549"/>
        <item x="1546"/>
        <item x="443"/>
        <item x="129"/>
        <item x="96"/>
        <item x="1474"/>
        <item x="201"/>
        <item x="102"/>
        <item x="204"/>
        <item x="481"/>
        <item x="454"/>
        <item x="421"/>
        <item x="422"/>
        <item x="427"/>
        <item x="474"/>
        <item x="473"/>
        <item x="619"/>
        <item x="861"/>
        <item x="563"/>
        <item x="966"/>
        <item x="898"/>
        <item x="655"/>
        <item x="1469"/>
        <item x="1042"/>
        <item x="32"/>
        <item x="1168"/>
        <item x="1278"/>
        <item x="133"/>
        <item x="1238"/>
        <item x="1504"/>
        <item x="218"/>
        <item x="109"/>
        <item x="1355"/>
        <item x="106"/>
        <item x="1365"/>
        <item x="773"/>
        <item x="13"/>
        <item x="1566"/>
        <item x="182"/>
        <item x="233"/>
        <item x="440"/>
        <item x="1567"/>
        <item x="148"/>
        <item x="211"/>
        <item x="246"/>
        <item x="772"/>
        <item x="228"/>
        <item x="383"/>
        <item x="41"/>
        <item x="1313"/>
        <item x="345"/>
        <item x="566"/>
        <item x="781"/>
        <item x="378"/>
        <item x="777"/>
        <item x="256"/>
        <item x="292"/>
        <item x="477"/>
        <item x="654"/>
        <item x="326"/>
        <item x="657"/>
        <item x="578"/>
        <item x="101"/>
        <item x="816"/>
        <item x="794"/>
        <item x="43"/>
        <item x="36"/>
        <item x="35"/>
        <item x="779"/>
        <item x="904"/>
        <item x="843"/>
        <item x="191"/>
        <item x="75"/>
        <item x="661"/>
        <item x="162"/>
        <item x="775"/>
        <item x="92"/>
        <item x="349"/>
        <item x="1136"/>
        <item x="875"/>
        <item x="216"/>
        <item x="269"/>
        <item x="456"/>
        <item x="826"/>
        <item x="1087"/>
        <item x="27"/>
        <item x="251"/>
        <item x="85"/>
        <item x="347"/>
        <item x="1058"/>
        <item x="1077"/>
        <item x="80"/>
        <item x="774"/>
        <item x="20"/>
        <item x="1468"/>
        <item x="740"/>
        <item x="167"/>
        <item x="442"/>
        <item x="1066"/>
        <item x="17"/>
        <item x="840"/>
        <item x="157"/>
        <item x="1179"/>
        <item x="1033"/>
        <item x="493"/>
        <item x="11"/>
        <item x="541"/>
        <item x="1282"/>
        <item x="1207"/>
        <item x="396"/>
        <item x="254"/>
        <item x="265"/>
        <item x="1123"/>
        <item x="1203"/>
        <item x="210"/>
        <item x="340"/>
        <item x="311"/>
        <item x="548"/>
        <item x="616"/>
        <item x="16"/>
        <item x="742"/>
        <item x="391"/>
        <item x="439"/>
        <item x="355"/>
        <item x="731"/>
        <item x="745"/>
        <item x="1429"/>
        <item x="1427"/>
        <item x="1426"/>
        <item x="78"/>
        <item x="394"/>
        <item x="1425"/>
        <item x="108"/>
        <item x="1423"/>
        <item x="175"/>
        <item x="752"/>
        <item x="180"/>
        <item x="1418"/>
        <item x="169"/>
        <item x="1007"/>
        <item x="1455"/>
        <item x="556"/>
        <item x="1204"/>
        <item x="1559"/>
        <item x="1452"/>
        <item x="1285"/>
        <item x="535"/>
        <item x="896"/>
        <item x="1557"/>
        <item x="286"/>
        <item x="763"/>
        <item x="603"/>
        <item x="546"/>
        <item x="544"/>
        <item x="600"/>
        <item x="593"/>
        <item x="1556"/>
        <item x="1555"/>
        <item x="1573"/>
        <item x="536"/>
        <item x="635"/>
        <item x="296"/>
        <item x="287"/>
        <item x="295"/>
        <item x="977"/>
        <item x="650"/>
        <item x="313"/>
        <item x="1095"/>
        <item x="1091"/>
        <item x="449"/>
        <item x="374"/>
        <item x="694"/>
        <item x="764"/>
        <item x="757"/>
        <item x="995"/>
        <item x="350"/>
        <item x="706"/>
        <item x="1046"/>
        <item x="732"/>
        <item x="372"/>
        <item x="492"/>
        <item x="508"/>
        <item x="509"/>
        <item x="831"/>
        <item x="488"/>
        <item x="1507"/>
        <item x="700"/>
        <item x="513"/>
        <item x="810"/>
        <item x="1152"/>
        <item x="547"/>
        <item x="1117"/>
        <item x="703"/>
        <item x="534"/>
        <item x="1326"/>
        <item x="583"/>
        <item x="601"/>
        <item x="1536"/>
        <item x="926"/>
        <item x="1231"/>
        <item x="607"/>
        <item x="649"/>
        <item x="636"/>
        <item x="1311"/>
        <item x="647"/>
        <item x="1165"/>
        <item x="628"/>
        <item x="639"/>
        <item x="640"/>
        <item x="1004"/>
        <item x="1200"/>
        <item x="1465"/>
        <item x="1003"/>
        <item x="699"/>
        <item x="833"/>
        <item x="854"/>
        <item x="827"/>
        <item x="811"/>
        <item x="834"/>
        <item x="998"/>
        <item x="846"/>
        <item x="809"/>
        <item x="882"/>
        <item x="1011"/>
        <item x="1116"/>
        <item x="1531"/>
        <item x="1096"/>
        <item x="1038"/>
        <item x="1345"/>
        <item x="1241"/>
        <item x="873"/>
        <item x="917"/>
        <item x="1157"/>
        <item x="935"/>
        <item x="1255"/>
        <item x="1263"/>
        <item x="1172"/>
        <item x="1586"/>
        <item x="928"/>
        <item x="969"/>
        <item x="1248"/>
        <item x="983"/>
        <item x="1310"/>
        <item x="1234"/>
        <item x="989"/>
        <item x="1315"/>
        <item x="968"/>
        <item x="1404"/>
        <item x="1406"/>
        <item x="1411"/>
        <item x="1412"/>
        <item x="1025"/>
        <item x="1027"/>
        <item x="1009"/>
        <item x="1373"/>
        <item x="1167"/>
        <item x="1196"/>
        <item x="1497"/>
        <item x="1375"/>
        <item x="1175"/>
        <item x="1156"/>
        <item x="1166"/>
        <item x="1582"/>
        <item x="1239"/>
        <item x="1384"/>
        <item x="1218"/>
        <item x="1506"/>
        <item x="1291"/>
        <item x="1292"/>
        <item x="1343"/>
        <item x="1337"/>
        <item x="1349"/>
        <item x="1529"/>
        <item x="1511"/>
        <item x="1489"/>
        <item x="1541"/>
        <item x="1547"/>
        <item x="1551"/>
        <item x="65"/>
        <item x="63"/>
        <item x="165"/>
        <item x="168"/>
        <item x="284"/>
        <item x="285"/>
        <item x="67"/>
        <item x="418"/>
        <item x="68"/>
        <item x="62"/>
        <item x="402"/>
        <item x="417"/>
        <item x="58"/>
        <item x="464"/>
        <item x="465"/>
        <item x="155"/>
        <item x="153"/>
        <item x="467"/>
        <item x="171"/>
        <item x="722"/>
        <item x="236"/>
        <item x="241"/>
        <item x="530"/>
        <item x="323"/>
        <item x="520"/>
        <item x="592"/>
        <item x="283"/>
        <item x="432"/>
        <item x="64"/>
        <item x="414"/>
        <item x="420"/>
        <item x="412"/>
        <item x="419"/>
        <item x="612"/>
        <item x="713"/>
        <item x="415"/>
        <item x="430"/>
        <item x="410"/>
        <item x="719"/>
        <item x="837"/>
        <item x="158"/>
        <item x="462"/>
        <item x="154"/>
        <item x="529"/>
        <item x="948"/>
        <item x="724"/>
        <item x="291"/>
        <item x="978"/>
        <item x="725"/>
        <item x="1032"/>
        <item x="1130"/>
        <item x="711"/>
        <item x="721"/>
        <item x="712"/>
        <item x="413"/>
        <item x="717"/>
        <item x="716"/>
        <item x="865"/>
        <item x="1222"/>
        <item x="1327"/>
        <item x="605"/>
        <item x="972"/>
        <item x="715"/>
        <item x="1121"/>
        <item x="1031"/>
        <item x="1125"/>
        <item x="718"/>
        <item x="1137"/>
        <item x="720"/>
        <item x="1142"/>
        <item x="1520"/>
        <item x="892"/>
        <item x="1225"/>
        <item x="891"/>
        <item x="71"/>
        <item x="59"/>
        <item x="66"/>
        <item x="55"/>
        <item x="70"/>
        <item x="53"/>
        <item x="69"/>
        <item x="52"/>
        <item x="56"/>
        <item x="60"/>
        <item x="90"/>
        <item x="54"/>
        <item x="57"/>
        <item x="72"/>
        <item x="1323"/>
        <item x="1395"/>
        <item x="976"/>
        <item x="1328"/>
        <item x="1320"/>
        <item x="1148"/>
        <item x="644"/>
        <item x="643"/>
        <item x="642"/>
        <item x="527"/>
        <item x="533"/>
        <item x="531"/>
        <item x="528"/>
        <item x="521"/>
        <item x="723"/>
        <item x="767"/>
        <item x="710"/>
        <item x="526"/>
        <item x="532"/>
        <item x="900"/>
        <item x="714"/>
        <item x="61"/>
        <item x="1029"/>
        <item x="1344"/>
        <item x="1049"/>
        <item x="1126"/>
        <item x="1044"/>
        <item x="1134"/>
        <item x="1119"/>
        <item x="1143"/>
        <item x="1149"/>
        <item x="1118"/>
        <item x="1146"/>
        <item x="1131"/>
        <item x="1092"/>
        <item x="1138"/>
        <item x="1144"/>
        <item x="1090"/>
        <item x="327"/>
        <item x="332"/>
        <item x="330"/>
        <item x="333"/>
        <item x="310"/>
        <item x="339"/>
        <item x="299"/>
        <item x="303"/>
        <item x="319"/>
        <item x="331"/>
        <item x="307"/>
        <item x="302"/>
        <item x="294"/>
        <item x="305"/>
        <item x="1396"/>
        <item x="1052"/>
        <item x="1034"/>
        <item x="1400"/>
        <item x="1397"/>
        <item x="324"/>
        <item x="316"/>
        <item x="306"/>
        <item x="1140"/>
        <item x="1324"/>
        <item x="3"/>
        <item x="4"/>
        <item x="5"/>
        <item x="6"/>
        <item x="1563"/>
        <item x="1321"/>
        <item x="1319"/>
        <item x="1329"/>
        <item x="1597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4"/>
        <item x="0"/>
        <item x="6"/>
        <item x="5"/>
        <item x="2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77">
        <item x="222"/>
        <item x="215"/>
        <item x="227"/>
        <item x="309"/>
        <item x="85"/>
        <item x="69"/>
        <item x="49"/>
        <item x="53"/>
        <item x="51"/>
        <item x="56"/>
        <item x="50"/>
        <item x="68"/>
        <item x="52"/>
        <item x="57"/>
        <item x="54"/>
        <item x="63"/>
        <item x="67"/>
        <item x="66"/>
        <item x="346"/>
        <item x="448"/>
        <item x="308"/>
        <item x="455"/>
        <item x="381"/>
        <item x="450"/>
        <item x="302"/>
        <item x="459"/>
        <item x="62"/>
        <item x="142"/>
        <item x="60"/>
        <item x="139"/>
        <item x="64"/>
        <item x="178"/>
        <item x="202"/>
        <item x="145"/>
        <item x="201"/>
        <item x="255"/>
        <item x="267"/>
        <item x="287"/>
        <item x="265"/>
        <item x="61"/>
        <item x="285"/>
        <item x="306"/>
        <item x="323"/>
        <item x="65"/>
        <item x="59"/>
        <item x="266"/>
        <item x="268"/>
        <item x="317"/>
        <item x="180"/>
        <item x="129"/>
        <item x="226"/>
        <item x="300"/>
        <item x="351"/>
        <item x="55"/>
        <item x="286"/>
        <item x="131"/>
        <item x="200"/>
        <item x="264"/>
        <item x="274"/>
        <item x="262"/>
        <item x="345"/>
        <item x="374"/>
        <item x="272"/>
        <item x="269"/>
        <item x="283"/>
        <item x="261"/>
        <item x="130"/>
        <item x="305"/>
        <item x="133"/>
        <item x="419"/>
        <item x="343"/>
        <item x="386"/>
        <item x="205"/>
        <item x="392"/>
        <item x="417"/>
        <item x="353"/>
        <item x="263"/>
        <item x="396"/>
        <item x="349"/>
        <item x="348"/>
        <item x="344"/>
        <item x="453"/>
        <item x="376"/>
        <item x="438"/>
        <item x="320"/>
        <item x="390"/>
        <item x="451"/>
        <item x="395"/>
        <item x="347"/>
        <item x="449"/>
        <item x="470"/>
        <item x="350"/>
        <item x="415"/>
        <item x="352"/>
        <item x="425"/>
        <item x="439"/>
        <item x="422"/>
        <item x="379"/>
        <item x="378"/>
        <item x="430"/>
        <item x="391"/>
        <item x="454"/>
        <item x="461"/>
        <item x="460"/>
        <item x="462"/>
        <item x="403"/>
        <item x="397"/>
        <item x="5"/>
        <item x="3"/>
        <item x="452"/>
        <item x="4"/>
        <item x="6"/>
        <item x="473"/>
        <item x="330"/>
        <item x="329"/>
        <item x="331"/>
        <item x="303"/>
        <item x="394"/>
        <item x="406"/>
        <item x="405"/>
        <item x="413"/>
        <item x="429"/>
        <item x="423"/>
        <item x="418"/>
        <item x="426"/>
        <item x="402"/>
        <item x="421"/>
        <item x="420"/>
        <item x="427"/>
        <item x="400"/>
        <item x="414"/>
        <item x="431"/>
        <item x="365"/>
        <item x="342"/>
        <item x="355"/>
        <item x="424"/>
        <item x="304"/>
        <item x="301"/>
        <item x="307"/>
        <item x="357"/>
        <item x="356"/>
        <item x="354"/>
        <item x="458"/>
        <item x="13"/>
        <item x="206"/>
        <item x="119"/>
        <item x="176"/>
        <item x="251"/>
        <item x="29"/>
        <item x="19"/>
        <item x="171"/>
        <item x="292"/>
        <item x="278"/>
        <item x="248"/>
        <item x="290"/>
        <item x="238"/>
        <item x="434"/>
        <item x="294"/>
        <item x="249"/>
        <item x="185"/>
        <item x="77"/>
        <item x="21"/>
        <item x="120"/>
        <item x="0"/>
        <item x="271"/>
        <item x="137"/>
        <item x="26"/>
        <item x="186"/>
        <item x="111"/>
        <item x="475"/>
        <item x="10"/>
        <item x="117"/>
        <item x="362"/>
        <item x="259"/>
        <item x="122"/>
        <item x="245"/>
        <item x="253"/>
        <item x="148"/>
        <item x="128"/>
        <item x="17"/>
        <item x="326"/>
        <item x="8"/>
        <item x="240"/>
        <item x="107"/>
        <item x="161"/>
        <item x="291"/>
        <item x="184"/>
        <item x="433"/>
        <item x="166"/>
        <item x="192"/>
        <item x="297"/>
        <item x="316"/>
        <item x="149"/>
        <item x="116"/>
        <item x="276"/>
        <item x="447"/>
        <item x="469"/>
        <item x="99"/>
        <item x="118"/>
        <item x="382"/>
        <item x="409"/>
        <item x="250"/>
        <item x="247"/>
        <item x="299"/>
        <item x="15"/>
        <item x="73"/>
        <item x="296"/>
        <item x="322"/>
        <item x="114"/>
        <item x="23"/>
        <item x="113"/>
        <item x="428"/>
        <item x="252"/>
        <item x="182"/>
        <item x="260"/>
        <item x="101"/>
        <item x="241"/>
        <item x="79"/>
        <item x="327"/>
        <item x="258"/>
        <item x="74"/>
        <item x="311"/>
        <item x="167"/>
        <item x="371"/>
        <item x="372"/>
        <item x="364"/>
        <item x="172"/>
        <item x="442"/>
        <item x="134"/>
        <item x="412"/>
        <item x="324"/>
        <item x="219"/>
        <item x="27"/>
        <item x="144"/>
        <item x="95"/>
        <item x="31"/>
        <item x="385"/>
        <item x="82"/>
        <item x="191"/>
        <item x="375"/>
        <item x="160"/>
        <item x="188"/>
        <item x="443"/>
        <item x="275"/>
        <item x="243"/>
        <item x="35"/>
        <item x="168"/>
        <item x="28"/>
        <item x="358"/>
        <item x="318"/>
        <item x="88"/>
        <item x="284"/>
        <item x="333"/>
        <item x="127"/>
        <item x="445"/>
        <item x="108"/>
        <item x="115"/>
        <item x="256"/>
        <item x="36"/>
        <item x="92"/>
        <item x="87"/>
        <item x="106"/>
        <item x="16"/>
        <item x="71"/>
        <item x="126"/>
        <item x="416"/>
        <item x="254"/>
        <item x="174"/>
        <item x="360"/>
        <item x="39"/>
        <item x="195"/>
        <item x="175"/>
        <item x="387"/>
        <item x="230"/>
        <item x="472"/>
        <item x="183"/>
        <item x="187"/>
        <item x="228"/>
        <item x="332"/>
        <item x="383"/>
        <item x="20"/>
        <item x="32"/>
        <item x="465"/>
        <item x="194"/>
        <item x="83"/>
        <item x="441"/>
        <item x="277"/>
        <item x="213"/>
        <item x="151"/>
        <item x="337"/>
        <item x="366"/>
        <item x="388"/>
        <item x="361"/>
        <item x="446"/>
        <item x="14"/>
        <item x="132"/>
        <item x="339"/>
        <item x="193"/>
        <item x="373"/>
        <item x="436"/>
        <item x="173"/>
        <item x="159"/>
        <item x="45"/>
        <item x="152"/>
        <item x="24"/>
        <item x="22"/>
        <item x="444"/>
        <item x="279"/>
        <item x="112"/>
        <item x="91"/>
        <item x="105"/>
        <item x="471"/>
        <item x="466"/>
        <item x="198"/>
        <item x="225"/>
        <item x="162"/>
        <item x="325"/>
        <item x="164"/>
        <item x="96"/>
        <item x="98"/>
        <item x="464"/>
        <item x="197"/>
        <item x="203"/>
        <item x="37"/>
        <item x="25"/>
        <item x="70"/>
        <item x="242"/>
        <item x="313"/>
        <item x="393"/>
        <item x="208"/>
        <item x="408"/>
        <item x="210"/>
        <item x="398"/>
        <item x="2"/>
        <item x="244"/>
        <item x="46"/>
        <item x="156"/>
        <item x="9"/>
        <item x="363"/>
        <item x="335"/>
        <item x="399"/>
        <item x="411"/>
        <item x="239"/>
        <item x="104"/>
        <item x="124"/>
        <item x="103"/>
        <item x="281"/>
        <item x="368"/>
        <item x="407"/>
        <item x="90"/>
        <item x="150"/>
        <item x="81"/>
        <item x="41"/>
        <item x="280"/>
        <item x="177"/>
        <item x="76"/>
        <item x="295"/>
        <item x="84"/>
        <item x="310"/>
        <item x="72"/>
        <item x="389"/>
        <item x="196"/>
        <item x="273"/>
        <item x="97"/>
        <item x="237"/>
        <item x="165"/>
        <item x="298"/>
        <item x="246"/>
        <item x="401"/>
        <item x="102"/>
        <item x="12"/>
        <item x="370"/>
        <item x="141"/>
        <item x="221"/>
        <item x="457"/>
        <item x="170"/>
        <item x="1"/>
        <item x="338"/>
        <item x="155"/>
        <item x="78"/>
        <item x="437"/>
        <item x="163"/>
        <item x="328"/>
        <item x="143"/>
        <item x="75"/>
        <item x="334"/>
        <item x="34"/>
        <item x="11"/>
        <item x="181"/>
        <item x="93"/>
        <item x="456"/>
        <item x="89"/>
        <item x="288"/>
        <item x="217"/>
        <item x="189"/>
        <item x="384"/>
        <item x="38"/>
        <item x="474"/>
        <item x="33"/>
        <item x="341"/>
        <item x="204"/>
        <item x="125"/>
        <item x="315"/>
        <item x="319"/>
        <item x="18"/>
        <item x="293"/>
        <item x="190"/>
        <item x="223"/>
        <item x="377"/>
        <item x="169"/>
        <item x="440"/>
        <item x="463"/>
        <item x="110"/>
        <item x="404"/>
        <item x="340"/>
        <item x="432"/>
        <item x="136"/>
        <item x="140"/>
        <item x="138"/>
        <item x="179"/>
        <item x="435"/>
        <item x="367"/>
        <item x="121"/>
        <item x="109"/>
        <item x="153"/>
        <item x="199"/>
        <item x="94"/>
        <item x="468"/>
        <item x="157"/>
        <item x="158"/>
        <item x="48"/>
        <item x="257"/>
        <item x="80"/>
        <item x="43"/>
        <item x="235"/>
        <item x="40"/>
        <item x="42"/>
        <item x="220"/>
        <item x="282"/>
        <item x="270"/>
        <item x="312"/>
        <item x="410"/>
        <item x="123"/>
        <item x="336"/>
        <item x="30"/>
        <item x="86"/>
        <item x="47"/>
        <item x="321"/>
        <item x="154"/>
        <item x="380"/>
        <item x="369"/>
        <item x="146"/>
        <item x="314"/>
        <item x="147"/>
        <item x="100"/>
        <item x="359"/>
        <item x="289"/>
        <item x="467"/>
        <item x="135"/>
        <item x="44"/>
        <item x="216"/>
        <item x="214"/>
        <item x="212"/>
        <item x="224"/>
        <item x="211"/>
        <item x="233"/>
        <item x="236"/>
        <item x="229"/>
        <item x="234"/>
        <item x="232"/>
        <item x="207"/>
        <item x="231"/>
        <item x="218"/>
        <item x="209"/>
        <item x="58"/>
        <item x="47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2"/>
    <field x="3"/>
    <field x="4"/>
    <field x="5"/>
    <field x="6"/>
  </rowFields>
  <rowItems count="11">
    <i>
      <x v="1"/>
      <x v="4"/>
      <x v="23"/>
      <x v="1597"/>
      <x v="4"/>
      <x v="476"/>
    </i>
    <i r="1">
      <x v="9"/>
      <x v="23"/>
      <x v="1597"/>
      <x v="5"/>
      <x v="476"/>
    </i>
    <i r="1">
      <x v="14"/>
      <x v="23"/>
      <x v="1597"/>
      <x v="5"/>
      <x v="476"/>
    </i>
    <i r="1">
      <x v="22"/>
      <x v="23"/>
      <x v="1597"/>
      <x/>
      <x v="476"/>
    </i>
    <i>
      <x v="2"/>
      <x v="23"/>
      <x v="20"/>
      <x v="1588"/>
      <x v="6"/>
      <x v="108"/>
    </i>
    <i r="3">
      <x v="1589"/>
      <x v="6"/>
      <x v="110"/>
    </i>
    <i r="2">
      <x v="21"/>
      <x v="1590"/>
      <x v="6"/>
      <x v="107"/>
    </i>
    <i r="3">
      <x v="1591"/>
      <x v="6"/>
      <x v="111"/>
    </i>
    <i>
      <x v="3"/>
      <x v="5"/>
      <x v="5"/>
      <x v="88"/>
      <x v="1"/>
      <x v="163"/>
    </i>
    <i r="1">
      <x v="14"/>
      <x v="14"/>
      <x v="68"/>
      <x v="1"/>
      <x v="376"/>
    </i>
    <i r="1">
      <x v="21"/>
      <x v="21"/>
      <x v="617"/>
      <x v="1"/>
      <x v="333"/>
    </i>
  </rowItems>
  <colItems count="1">
    <i/>
  </colItems>
  <dataFields count="1">
    <dataField name="Diferença " fld="9" baseField="0" baseItem="0" numFmtId="3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1971E-2424-4DFF-9853-3CD2AAB4ED24}" name="ResumoStatus" cacheId="1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6" indent="0" compact="0" compactData="0" multipleFieldFilters="0">
  <location ref="B5:G11" firstHeaderRow="0" firstDataRow="1" firstDataCol="2"/>
  <pivotFields count="11">
    <pivotField axis="axisRow" compact="0" outline="0" showAll="0" defaultSubtotal="0">
      <items count="4"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6">
    <i>
      <x/>
      <x/>
    </i>
    <i r="1">
      <x v="1"/>
    </i>
    <i>
      <x v="1"/>
      <x v="2"/>
    </i>
    <i>
      <x v="2"/>
      <x v="2"/>
    </i>
    <i>
      <x v="3"/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Lançamentos " fld="10" baseField="0" baseItem="0" numFmtId="3"/>
    <dataField name="Total no extrato" fld="7" baseField="0" baseItem="0" numFmtId="39"/>
    <dataField name="Total no sistema" fld="8" baseField="0" baseItem="0" numFmtId="39"/>
    <dataField name="Diferença total" fld="9" baseField="0" baseItem="0" numFmtId="39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1" xr16:uid="{CFBE635E-74C5-4076-954D-A92968703EE2}" autoFormatId="0" applyNumberFormats="0" applyBorderFormats="0" applyFontFormats="1" applyPatternFormats="1" applyAlignmentFormats="0" applyWidthHeightFormats="0">
  <queryTableRefresh nextId="12">
    <queryTableFields count="11">
      <queryTableField id="1" name="Status" tableColumnId="12"/>
      <queryTableField id="2" name="Regra" tableColumnId="13"/>
      <queryTableField id="3" name="Data no Extrato" tableColumnId="14"/>
      <queryTableField id="4" name="Data no Sistema" tableColumnId="15"/>
      <queryTableField id="5" name="Documento" tableColumnId="16"/>
      <queryTableField id="6" name="Histórico" tableColumnId="17"/>
      <queryTableField id="7" name="Descrição" tableColumnId="18"/>
      <queryTableField id="8" name="Valor no Extrato" tableColumnId="19"/>
      <queryTableField id="9" name="Valor no Sistema" tableColumnId="20"/>
      <queryTableField id="10" name="Diferença" tableColumnId="21"/>
      <queryTableField id="11" name="Lançamento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98D3D0-CE87-4643-B3D5-8D2C49B1BB92}" name="tbConciliacao" displayName="tbConciliacao" ref="A1:K1602" tableType="queryTable" totalsRowShown="0">
  <autoFilter ref="A1:K1602" xr:uid="{2D98D3D0-CE87-4643-B3D5-8D2C49B1BB92}"/>
  <tableColumns count="11">
    <tableColumn id="12" xr3:uid="{6B40C4BF-424F-4CB1-98EC-910BAE784F47}" uniqueName="12" name="Status" queryTableFieldId="1" dataDxfId="9"/>
    <tableColumn id="13" xr3:uid="{B0021CC2-5D6B-47FF-BBEE-D45710E9D203}" uniqueName="13" name="Regra" queryTableFieldId="2" dataDxfId="7"/>
    <tableColumn id="14" xr3:uid="{72F59A65-F417-48F8-BE0D-B98F30F32632}" uniqueName="14" name="Data no Extrato" queryTableFieldId="3" dataDxfId="6"/>
    <tableColumn id="15" xr3:uid="{F285C1B5-15E4-40CD-BBFF-3750E6F5E7E9}" uniqueName="15" name="Data no Sistema" queryTableFieldId="4" dataDxfId="4"/>
    <tableColumn id="16" xr3:uid="{13E43257-3E0D-4DE2-A5EF-1F95D1E59369}" uniqueName="16" name="Documento" queryTableFieldId="5" dataDxfId="5"/>
    <tableColumn id="17" xr3:uid="{1EBA526F-0265-41FC-AAEF-8D984D4C7DD9}" uniqueName="17" name="Histórico" queryTableFieldId="6" dataDxfId="8"/>
    <tableColumn id="18" xr3:uid="{35F0342A-7844-4158-88E4-BC5EE7AF2315}" uniqueName="18" name="Descrição" queryTableFieldId="7" dataDxfId="3"/>
    <tableColumn id="19" xr3:uid="{9A0D1059-F0DF-4537-AD85-137FC4696873}" uniqueName="19" name="Valor no Extrato" queryTableFieldId="8" dataDxfId="2"/>
    <tableColumn id="20" xr3:uid="{E1ACC6E4-7BBC-41D2-8273-7AFC9998A760}" uniqueName="20" name="Valor no Sistema" queryTableFieldId="9" dataDxfId="1"/>
    <tableColumn id="21" xr3:uid="{EFC6B0C7-83A9-49EC-9F5E-F2AC700E64E0}" uniqueName="21" name="Diferença" queryTableFieldId="10" dataDxfId="0"/>
    <tableColumn id="22" xr3:uid="{09069D8C-29A8-439A-8F9C-4C554EC82135}" uniqueName="22" name="Lançamentos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7FF4-132E-40BE-9C6B-59B92C29C2FB}">
  <dimension ref="B2:B17"/>
  <sheetViews>
    <sheetView tabSelected="1" workbookViewId="0"/>
  </sheetViews>
  <sheetFormatPr defaultRowHeight="14.25" x14ac:dyDescent="0.25"/>
  <cols>
    <col min="1" max="1" width="3.7109375" style="1" customWidth="1"/>
    <col min="2" max="2" width="120.7109375" style="1" customWidth="1"/>
    <col min="3" max="16384" width="9.140625" style="1"/>
  </cols>
  <sheetData>
    <row r="2" spans="2:2" ht="26.25" x14ac:dyDescent="0.45">
      <c r="B2" s="2" t="s">
        <v>0</v>
      </c>
    </row>
    <row r="3" spans="2:2" x14ac:dyDescent="0.25">
      <c r="B3" s="3" t="s">
        <v>1</v>
      </c>
    </row>
    <row r="4" spans="2:2" x14ac:dyDescent="0.25">
      <c r="B4" s="3"/>
    </row>
    <row r="5" spans="2:2" ht="17.25" x14ac:dyDescent="0.3">
      <c r="B5" s="4" t="s">
        <v>2</v>
      </c>
    </row>
    <row r="6" spans="2:2" ht="28.5" x14ac:dyDescent="0.25">
      <c r="B6" s="3" t="s">
        <v>3</v>
      </c>
    </row>
    <row r="7" spans="2:2" ht="28.5" x14ac:dyDescent="0.25">
      <c r="B7" s="3" t="s">
        <v>4</v>
      </c>
    </row>
    <row r="8" spans="2:2" x14ac:dyDescent="0.25">
      <c r="B8" s="3"/>
    </row>
    <row r="9" spans="2:2" ht="17.25" x14ac:dyDescent="0.3">
      <c r="B9" s="4" t="s">
        <v>5</v>
      </c>
    </row>
    <row r="10" spans="2:2" ht="28.5" x14ac:dyDescent="0.25">
      <c r="B10" s="3" t="s">
        <v>6</v>
      </c>
    </row>
    <row r="11" spans="2:2" ht="28.5" x14ac:dyDescent="0.25">
      <c r="B11" s="3" t="s">
        <v>7</v>
      </c>
    </row>
    <row r="12" spans="2:2" x14ac:dyDescent="0.25">
      <c r="B12" s="3"/>
    </row>
    <row r="13" spans="2:2" ht="17.25" x14ac:dyDescent="0.3">
      <c r="B13" s="4" t="s">
        <v>8</v>
      </c>
    </row>
    <row r="14" spans="2:2" x14ac:dyDescent="0.25">
      <c r="B14" s="3" t="s">
        <v>9</v>
      </c>
    </row>
    <row r="15" spans="2:2" ht="28.5" x14ac:dyDescent="0.25">
      <c r="B15" s="3" t="s">
        <v>10</v>
      </c>
    </row>
    <row r="16" spans="2:2" x14ac:dyDescent="0.25">
      <c r="B16" s="3"/>
    </row>
    <row r="17" spans="2:2" ht="16.5" x14ac:dyDescent="0.3">
      <c r="B17" s="5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42BE-519E-437C-8C07-9A532995F454}">
  <dimension ref="B2:C9"/>
  <sheetViews>
    <sheetView workbookViewId="0"/>
  </sheetViews>
  <sheetFormatPr defaultRowHeight="14.25" x14ac:dyDescent="0.25"/>
  <cols>
    <col min="1" max="1" width="9.140625" style="1"/>
    <col min="2" max="2" width="22.7109375" style="1" customWidth="1"/>
    <col min="3" max="3" width="80.7109375" style="1" customWidth="1"/>
    <col min="4" max="16384" width="9.140625" style="1"/>
  </cols>
  <sheetData>
    <row r="2" spans="2:3" ht="20.25" x14ac:dyDescent="0.35">
      <c r="B2" s="6" t="s">
        <v>12</v>
      </c>
    </row>
    <row r="4" spans="2:3" x14ac:dyDescent="0.25">
      <c r="B4" s="1" t="s">
        <v>13</v>
      </c>
      <c r="C4" s="1" t="str">
        <f ca="1">SUBSTITUTE(LEFT(CELL("filename",A1),FIND("[",CELL("filename",A1))-1),"\excel\","\")&amp;"data\"</f>
        <v>C:\Users\lucas\Projetos\distribuidora-sul\data\</v>
      </c>
    </row>
    <row r="5" spans="2:3" x14ac:dyDescent="0.25">
      <c r="B5" s="1" t="s">
        <v>14</v>
      </c>
      <c r="C5" s="1" t="s">
        <v>15</v>
      </c>
    </row>
    <row r="6" spans="2:3" x14ac:dyDescent="0.25">
      <c r="B6" s="1" t="s">
        <v>16</v>
      </c>
      <c r="C6" s="7">
        <f>DATE(2025,12,1)</f>
        <v>45992</v>
      </c>
    </row>
    <row r="7" spans="2:3" x14ac:dyDescent="0.25">
      <c r="B7" s="1" t="s">
        <v>17</v>
      </c>
      <c r="C7" s="7">
        <f>DATE(2025,12,31)</f>
        <v>46022</v>
      </c>
    </row>
    <row r="9" spans="2:3" x14ac:dyDescent="0.25">
      <c r="B9" s="8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825B-836A-49D1-AC35-787E025CFF43}">
  <dimension ref="B2:H72"/>
  <sheetViews>
    <sheetView showGridLines="0" workbookViewId="0"/>
  </sheetViews>
  <sheetFormatPr defaultRowHeight="14.25" x14ac:dyDescent="0.25"/>
  <cols>
    <col min="1" max="1" width="2.7109375" style="1" customWidth="1"/>
    <col min="2" max="2" width="20.7109375" style="1" customWidth="1"/>
    <col min="3" max="3" width="17.140625" style="1" bestFit="1" customWidth="1"/>
    <col min="4" max="4" width="18" style="1" bestFit="1" customWidth="1"/>
    <col min="5" max="5" width="14.7109375" style="1" bestFit="1" customWidth="1"/>
    <col min="6" max="6" width="26.42578125" style="1" bestFit="1" customWidth="1"/>
    <col min="7" max="7" width="36.28515625" style="1" bestFit="1" customWidth="1"/>
    <col min="8" max="8" width="10.28515625" style="1" bestFit="1" customWidth="1"/>
    <col min="9" max="16384" width="9.140625" style="1"/>
  </cols>
  <sheetData>
    <row r="2" spans="2:7" ht="20.25" x14ac:dyDescent="0.35">
      <c r="B2" s="6" t="s">
        <v>2115</v>
      </c>
    </row>
    <row r="3" spans="2:7" x14ac:dyDescent="0.25">
      <c r="B3" s="8" t="s">
        <v>2116</v>
      </c>
    </row>
    <row r="5" spans="2:7" ht="15" x14ac:dyDescent="0.25">
      <c r="B5" s="12" t="s">
        <v>19</v>
      </c>
      <c r="C5" s="12" t="s">
        <v>20</v>
      </c>
      <c r="D5" t="s">
        <v>2118</v>
      </c>
      <c r="E5" t="s">
        <v>2119</v>
      </c>
      <c r="F5" t="s">
        <v>2120</v>
      </c>
      <c r="G5" t="s">
        <v>2121</v>
      </c>
    </row>
    <row r="6" spans="2:7" ht="15" x14ac:dyDescent="0.25">
      <c r="B6" t="s">
        <v>52</v>
      </c>
      <c r="C6" t="s">
        <v>55</v>
      </c>
      <c r="D6" s="13">
        <v>15</v>
      </c>
      <c r="E6" s="11">
        <v>94338.779999999984</v>
      </c>
      <c r="F6" s="11">
        <v>94338.779999999984</v>
      </c>
      <c r="G6" s="11">
        <v>0</v>
      </c>
    </row>
    <row r="7" spans="2:7" ht="15" x14ac:dyDescent="0.25">
      <c r="B7" t="s">
        <v>52</v>
      </c>
      <c r="C7" t="s">
        <v>23</v>
      </c>
      <c r="D7" s="13">
        <v>1575</v>
      </c>
      <c r="E7" s="11">
        <v>515780.69000000058</v>
      </c>
      <c r="F7" s="11">
        <v>515780.69000000058</v>
      </c>
      <c r="G7" s="11">
        <v>0</v>
      </c>
    </row>
    <row r="8" spans="2:7" ht="15" x14ac:dyDescent="0.25">
      <c r="B8" t="s">
        <v>48</v>
      </c>
      <c r="C8" t="s">
        <v>39</v>
      </c>
      <c r="D8" s="13">
        <v>4</v>
      </c>
      <c r="E8" s="11">
        <v>-218.17000000000002</v>
      </c>
      <c r="F8" s="11"/>
      <c r="G8" s="11">
        <v>-218.17000000000002</v>
      </c>
    </row>
    <row r="9" spans="2:7" ht="15" x14ac:dyDescent="0.25">
      <c r="B9" t="s">
        <v>38</v>
      </c>
      <c r="C9" t="s">
        <v>39</v>
      </c>
      <c r="D9" s="13">
        <v>4</v>
      </c>
      <c r="E9" s="11"/>
      <c r="F9" s="11">
        <v>-79215.72</v>
      </c>
      <c r="G9" s="11">
        <v>79215.72</v>
      </c>
    </row>
    <row r="10" spans="2:7" ht="15" x14ac:dyDescent="0.25">
      <c r="B10" t="s">
        <v>30</v>
      </c>
      <c r="C10" t="s">
        <v>23</v>
      </c>
      <c r="D10" s="13">
        <v>3</v>
      </c>
      <c r="E10" s="11">
        <v>12577.820000000002</v>
      </c>
      <c r="F10" s="11">
        <v>12435.44</v>
      </c>
      <c r="G10" s="11">
        <v>142.38000000000034</v>
      </c>
    </row>
    <row r="11" spans="2:7" ht="15" x14ac:dyDescent="0.25">
      <c r="B11" t="s">
        <v>2117</v>
      </c>
      <c r="C11"/>
      <c r="D11" s="13">
        <v>1601</v>
      </c>
      <c r="E11" s="11">
        <v>622479.12000000046</v>
      </c>
      <c r="F11" s="11">
        <v>543339.19000000053</v>
      </c>
      <c r="G11" s="11">
        <v>79139.930000000008</v>
      </c>
    </row>
    <row r="12" spans="2:7" ht="15" x14ac:dyDescent="0.25">
      <c r="B12"/>
      <c r="C12"/>
      <c r="D12"/>
      <c r="E12"/>
      <c r="F12"/>
      <c r="G12"/>
    </row>
    <row r="13" spans="2:7" ht="15" x14ac:dyDescent="0.25">
      <c r="B13"/>
      <c r="C13"/>
      <c r="D13"/>
      <c r="E13"/>
      <c r="F13"/>
      <c r="G13"/>
    </row>
    <row r="14" spans="2:7" ht="15" x14ac:dyDescent="0.25">
      <c r="B14"/>
      <c r="C14"/>
      <c r="D14"/>
      <c r="E14"/>
      <c r="F14"/>
      <c r="G14"/>
    </row>
    <row r="15" spans="2:7" ht="15" x14ac:dyDescent="0.25">
      <c r="B15"/>
      <c r="C15"/>
      <c r="D15"/>
      <c r="E15"/>
      <c r="F15"/>
      <c r="G15"/>
    </row>
    <row r="16" spans="2:7" ht="15" x14ac:dyDescent="0.25">
      <c r="B16"/>
      <c r="C16"/>
      <c r="D16"/>
    </row>
    <row r="17" spans="2:8" ht="15" x14ac:dyDescent="0.25">
      <c r="B17" s="14" t="s">
        <v>2124</v>
      </c>
      <c r="C17"/>
      <c r="D17"/>
    </row>
    <row r="18" spans="2:8" ht="15" x14ac:dyDescent="0.25">
      <c r="B18" s="12" t="s">
        <v>19</v>
      </c>
      <c r="C18" s="12" t="s">
        <v>21</v>
      </c>
      <c r="D18" s="12" t="s">
        <v>22</v>
      </c>
      <c r="E18" s="12" t="s">
        <v>23</v>
      </c>
      <c r="F18" s="12" t="s">
        <v>24</v>
      </c>
      <c r="G18" s="12" t="s">
        <v>25</v>
      </c>
      <c r="H18" t="s">
        <v>2123</v>
      </c>
    </row>
    <row r="19" spans="2:8" ht="15" x14ac:dyDescent="0.25">
      <c r="B19" t="s">
        <v>48</v>
      </c>
      <c r="C19" s="10">
        <v>45996</v>
      </c>
      <c r="D19" t="s">
        <v>2122</v>
      </c>
      <c r="E19" t="s">
        <v>2122</v>
      </c>
      <c r="F19" t="s">
        <v>49</v>
      </c>
      <c r="G19" t="s">
        <v>2122</v>
      </c>
      <c r="H19" s="11">
        <v>-189.9</v>
      </c>
    </row>
    <row r="20" spans="2:8" ht="15" x14ac:dyDescent="0.25">
      <c r="B20" t="s">
        <v>48</v>
      </c>
      <c r="C20" s="10">
        <v>46003</v>
      </c>
      <c r="D20" t="s">
        <v>2122</v>
      </c>
      <c r="E20" t="s">
        <v>2122</v>
      </c>
      <c r="F20" t="s">
        <v>50</v>
      </c>
      <c r="G20" t="s">
        <v>2122</v>
      </c>
      <c r="H20" s="11">
        <v>-12.5</v>
      </c>
    </row>
    <row r="21" spans="2:8" ht="15" x14ac:dyDescent="0.25">
      <c r="B21" t="s">
        <v>48</v>
      </c>
      <c r="C21" s="10">
        <v>46010</v>
      </c>
      <c r="D21" t="s">
        <v>2122</v>
      </c>
      <c r="E21" t="s">
        <v>2122</v>
      </c>
      <c r="F21" t="s">
        <v>50</v>
      </c>
      <c r="G21" t="s">
        <v>2122</v>
      </c>
      <c r="H21" s="11">
        <v>-12.5</v>
      </c>
    </row>
    <row r="22" spans="2:8" ht="15" x14ac:dyDescent="0.25">
      <c r="B22" t="s">
        <v>48</v>
      </c>
      <c r="C22" s="10">
        <v>46022</v>
      </c>
      <c r="D22" t="s">
        <v>2122</v>
      </c>
      <c r="E22" t="s">
        <v>2122</v>
      </c>
      <c r="F22" t="s">
        <v>51</v>
      </c>
      <c r="G22" t="s">
        <v>2122</v>
      </c>
      <c r="H22" s="11">
        <v>-3.27</v>
      </c>
    </row>
    <row r="23" spans="2:8" ht="15" x14ac:dyDescent="0.25">
      <c r="B23" t="s">
        <v>38</v>
      </c>
      <c r="C23" t="s">
        <v>2122</v>
      </c>
      <c r="D23" s="10">
        <v>46020</v>
      </c>
      <c r="E23" t="s">
        <v>40</v>
      </c>
      <c r="F23" t="s">
        <v>2122</v>
      </c>
      <c r="G23" t="s">
        <v>41</v>
      </c>
      <c r="H23" s="11">
        <v>15970.35</v>
      </c>
    </row>
    <row r="24" spans="2:8" ht="15" x14ac:dyDescent="0.25">
      <c r="B24" t="s">
        <v>38</v>
      </c>
      <c r="C24" t="s">
        <v>2122</v>
      </c>
      <c r="D24" s="10">
        <v>46020</v>
      </c>
      <c r="E24" t="s">
        <v>42</v>
      </c>
      <c r="F24" t="s">
        <v>2122</v>
      </c>
      <c r="G24" t="s">
        <v>43</v>
      </c>
      <c r="H24" s="11">
        <v>12325.05</v>
      </c>
    </row>
    <row r="25" spans="2:8" ht="15" x14ac:dyDescent="0.25">
      <c r="B25" t="s">
        <v>38</v>
      </c>
      <c r="C25" t="s">
        <v>2122</v>
      </c>
      <c r="D25" s="10">
        <v>46021</v>
      </c>
      <c r="E25" t="s">
        <v>44</v>
      </c>
      <c r="F25" t="s">
        <v>2122</v>
      </c>
      <c r="G25" t="s">
        <v>45</v>
      </c>
      <c r="H25" s="11">
        <v>13292.16</v>
      </c>
    </row>
    <row r="26" spans="2:8" ht="15" x14ac:dyDescent="0.25">
      <c r="B26" t="s">
        <v>38</v>
      </c>
      <c r="C26" t="s">
        <v>2122</v>
      </c>
      <c r="D26" s="10">
        <v>46021</v>
      </c>
      <c r="E26" t="s">
        <v>46</v>
      </c>
      <c r="F26" t="s">
        <v>2122</v>
      </c>
      <c r="G26" t="s">
        <v>47</v>
      </c>
      <c r="H26" s="11">
        <v>37628.160000000003</v>
      </c>
    </row>
    <row r="27" spans="2:8" ht="15" x14ac:dyDescent="0.25">
      <c r="B27" t="s">
        <v>30</v>
      </c>
      <c r="C27" s="10">
        <v>45999</v>
      </c>
      <c r="D27" s="10">
        <v>45999</v>
      </c>
      <c r="E27" t="s">
        <v>31</v>
      </c>
      <c r="F27" t="s">
        <v>32</v>
      </c>
      <c r="G27" t="s">
        <v>33</v>
      </c>
      <c r="H27" s="11">
        <v>44.420000000000073</v>
      </c>
    </row>
    <row r="28" spans="2:8" ht="15" x14ac:dyDescent="0.25">
      <c r="B28" t="s">
        <v>30</v>
      </c>
      <c r="C28" s="10">
        <v>46010</v>
      </c>
      <c r="D28" s="10">
        <v>46010</v>
      </c>
      <c r="E28" t="s">
        <v>34</v>
      </c>
      <c r="F28" t="s">
        <v>32</v>
      </c>
      <c r="G28" t="s">
        <v>35</v>
      </c>
      <c r="H28" s="11">
        <v>44.080000000000155</v>
      </c>
    </row>
    <row r="29" spans="2:8" ht="15" x14ac:dyDescent="0.25">
      <c r="B29" t="s">
        <v>30</v>
      </c>
      <c r="C29" s="10">
        <v>46021</v>
      </c>
      <c r="D29" s="10">
        <v>46021</v>
      </c>
      <c r="E29" t="s">
        <v>36</v>
      </c>
      <c r="F29" t="s">
        <v>32</v>
      </c>
      <c r="G29" t="s">
        <v>37</v>
      </c>
      <c r="H29" s="11">
        <v>53.880000000000109</v>
      </c>
    </row>
    <row r="30" spans="2:8" ht="15" x14ac:dyDescent="0.25">
      <c r="B30"/>
      <c r="C30"/>
      <c r="D30"/>
      <c r="E30"/>
      <c r="F30"/>
      <c r="G30"/>
      <c r="H30"/>
    </row>
    <row r="31" spans="2:8" ht="15" x14ac:dyDescent="0.25">
      <c r="B31"/>
      <c r="C31"/>
      <c r="D31"/>
    </row>
    <row r="32" spans="2:8" ht="15" x14ac:dyDescent="0.25">
      <c r="B32"/>
      <c r="C32"/>
      <c r="D32"/>
    </row>
    <row r="33" spans="2:4" ht="15" x14ac:dyDescent="0.25">
      <c r="B33"/>
      <c r="C33"/>
      <c r="D33"/>
    </row>
    <row r="34" spans="2:4" ht="15" x14ac:dyDescent="0.25">
      <c r="B34"/>
      <c r="C34"/>
      <c r="D34"/>
    </row>
    <row r="35" spans="2:4" ht="15" x14ac:dyDescent="0.25">
      <c r="B35"/>
      <c r="C35"/>
      <c r="D35"/>
    </row>
    <row r="36" spans="2:4" ht="15" x14ac:dyDescent="0.25">
      <c r="B36"/>
      <c r="C36"/>
    </row>
    <row r="37" spans="2:4" ht="15" x14ac:dyDescent="0.25">
      <c r="B37"/>
      <c r="C37"/>
    </row>
    <row r="38" spans="2:4" ht="15" x14ac:dyDescent="0.25">
      <c r="B38"/>
      <c r="C38"/>
    </row>
    <row r="39" spans="2:4" ht="15" x14ac:dyDescent="0.25">
      <c r="B39"/>
      <c r="C39"/>
    </row>
    <row r="40" spans="2:4" ht="15" x14ac:dyDescent="0.25">
      <c r="B40"/>
      <c r="C40"/>
    </row>
    <row r="41" spans="2:4" ht="15" x14ac:dyDescent="0.25">
      <c r="B41"/>
      <c r="C41"/>
    </row>
    <row r="42" spans="2:4" ht="15" x14ac:dyDescent="0.25">
      <c r="B42"/>
      <c r="C42"/>
    </row>
    <row r="43" spans="2:4" ht="15" x14ac:dyDescent="0.25">
      <c r="B43"/>
      <c r="C43"/>
    </row>
    <row r="44" spans="2:4" ht="15" x14ac:dyDescent="0.25">
      <c r="B44"/>
      <c r="C44"/>
    </row>
    <row r="45" spans="2:4" ht="15" x14ac:dyDescent="0.25">
      <c r="B45"/>
      <c r="C45"/>
    </row>
    <row r="46" spans="2:4" ht="15" x14ac:dyDescent="0.25">
      <c r="B46"/>
      <c r="C46"/>
    </row>
    <row r="47" spans="2:4" ht="15" x14ac:dyDescent="0.25">
      <c r="B47"/>
      <c r="C47"/>
    </row>
    <row r="48" spans="2:4" ht="15" x14ac:dyDescent="0.25">
      <c r="B48"/>
      <c r="C48"/>
    </row>
    <row r="49" spans="2:3" ht="15" x14ac:dyDescent="0.25">
      <c r="B49"/>
      <c r="C49"/>
    </row>
    <row r="50" spans="2:3" ht="15" x14ac:dyDescent="0.25">
      <c r="B50"/>
      <c r="C50"/>
    </row>
    <row r="51" spans="2:3" ht="15" x14ac:dyDescent="0.25">
      <c r="B51"/>
      <c r="C51"/>
    </row>
    <row r="52" spans="2:3" ht="15" x14ac:dyDescent="0.25">
      <c r="B52"/>
      <c r="C52"/>
    </row>
    <row r="53" spans="2:3" ht="15" x14ac:dyDescent="0.25">
      <c r="B53"/>
      <c r="C53"/>
    </row>
    <row r="54" spans="2:3" ht="15" x14ac:dyDescent="0.25">
      <c r="B54"/>
      <c r="C54"/>
    </row>
    <row r="55" spans="2:3" ht="15" x14ac:dyDescent="0.25">
      <c r="B55"/>
      <c r="C55"/>
    </row>
    <row r="56" spans="2:3" ht="15" x14ac:dyDescent="0.25">
      <c r="B56"/>
      <c r="C56"/>
    </row>
    <row r="57" spans="2:3" ht="15" x14ac:dyDescent="0.25">
      <c r="B57"/>
      <c r="C57"/>
    </row>
    <row r="58" spans="2:3" ht="15" x14ac:dyDescent="0.25">
      <c r="B58"/>
      <c r="C58"/>
    </row>
    <row r="59" spans="2:3" ht="15" x14ac:dyDescent="0.25">
      <c r="B59"/>
      <c r="C59"/>
    </row>
    <row r="60" spans="2:3" ht="15" x14ac:dyDescent="0.25">
      <c r="B60"/>
      <c r="C60"/>
    </row>
    <row r="61" spans="2:3" ht="15" x14ac:dyDescent="0.25">
      <c r="B61"/>
      <c r="C61"/>
    </row>
    <row r="62" spans="2:3" ht="15" x14ac:dyDescent="0.25">
      <c r="B62"/>
      <c r="C62"/>
    </row>
    <row r="63" spans="2:3" ht="15" x14ac:dyDescent="0.25">
      <c r="B63"/>
      <c r="C63"/>
    </row>
    <row r="64" spans="2:3" ht="15" x14ac:dyDescent="0.25">
      <c r="B64"/>
      <c r="C64"/>
    </row>
    <row r="65" spans="2:3" ht="15" x14ac:dyDescent="0.25">
      <c r="B65"/>
      <c r="C65"/>
    </row>
    <row r="66" spans="2:3" ht="15" x14ac:dyDescent="0.25">
      <c r="B66"/>
      <c r="C66"/>
    </row>
    <row r="67" spans="2:3" ht="15" x14ac:dyDescent="0.25">
      <c r="B67"/>
      <c r="C67"/>
    </row>
    <row r="68" spans="2:3" ht="15" x14ac:dyDescent="0.25">
      <c r="B68"/>
      <c r="C68"/>
    </row>
    <row r="69" spans="2:3" ht="15" x14ac:dyDescent="0.25">
      <c r="B69"/>
      <c r="C69"/>
    </row>
    <row r="70" spans="2:3" ht="15" x14ac:dyDescent="0.25">
      <c r="B70"/>
      <c r="C70"/>
    </row>
    <row r="71" spans="2:3" ht="15" x14ac:dyDescent="0.25">
      <c r="B71"/>
      <c r="C71"/>
    </row>
    <row r="72" spans="2:3" ht="15" x14ac:dyDescent="0.25">
      <c r="B72"/>
      <c r="C7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053D-CA28-464A-B09C-D9F2A2CB3824}">
  <dimension ref="A1:K1602"/>
  <sheetViews>
    <sheetView showGridLines="0" workbookViewId="0"/>
  </sheetViews>
  <sheetFormatPr defaultRowHeight="15" x14ac:dyDescent="0.25"/>
  <cols>
    <col min="1" max="1" width="15.28515625" bestFit="1" customWidth="1"/>
    <col min="2" max="2" width="11.42578125" bestFit="1" customWidth="1"/>
    <col min="3" max="3" width="17.140625" bestFit="1" customWidth="1"/>
    <col min="4" max="4" width="18" bestFit="1" customWidth="1"/>
    <col min="5" max="5" width="13.85546875" bestFit="1" customWidth="1"/>
    <col min="6" max="6" width="26.42578125" bestFit="1" customWidth="1"/>
    <col min="7" max="7" width="61.7109375" bestFit="1" customWidth="1"/>
    <col min="8" max="8" width="17.5703125" bestFit="1" customWidth="1"/>
    <col min="9" max="9" width="18.42578125" bestFit="1" customWidth="1"/>
    <col min="10" max="10" width="12.140625" bestFit="1" customWidth="1"/>
    <col min="11" max="11" width="15.42578125" bestFit="1" customWidth="1"/>
  </cols>
  <sheetData>
    <row r="1" spans="1:11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25">
      <c r="A2" s="9" t="s">
        <v>30</v>
      </c>
      <c r="B2" s="9" t="s">
        <v>23</v>
      </c>
      <c r="C2" s="10">
        <v>45999</v>
      </c>
      <c r="D2" s="10">
        <v>45999</v>
      </c>
      <c r="E2" s="9" t="s">
        <v>31</v>
      </c>
      <c r="F2" s="9" t="s">
        <v>32</v>
      </c>
      <c r="G2" s="9" t="s">
        <v>33</v>
      </c>
      <c r="H2" s="11">
        <v>7054.59</v>
      </c>
      <c r="I2" s="11">
        <v>7010.17</v>
      </c>
      <c r="J2" s="11">
        <v>44.420000000000073</v>
      </c>
      <c r="K2">
        <v>1</v>
      </c>
    </row>
    <row r="3" spans="1:11" x14ac:dyDescent="0.25">
      <c r="A3" s="9" t="s">
        <v>30</v>
      </c>
      <c r="B3" s="9" t="s">
        <v>23</v>
      </c>
      <c r="C3" s="10">
        <v>46010</v>
      </c>
      <c r="D3" s="10">
        <v>46010</v>
      </c>
      <c r="E3" s="9" t="s">
        <v>34</v>
      </c>
      <c r="F3" s="9" t="s">
        <v>32</v>
      </c>
      <c r="G3" s="9" t="s">
        <v>35</v>
      </c>
      <c r="H3" s="11">
        <v>1971.2</v>
      </c>
      <c r="I3" s="11">
        <v>1927.12</v>
      </c>
      <c r="J3" s="11">
        <v>44.080000000000155</v>
      </c>
      <c r="K3">
        <v>1</v>
      </c>
    </row>
    <row r="4" spans="1:11" x14ac:dyDescent="0.25">
      <c r="A4" s="9" t="s">
        <v>30</v>
      </c>
      <c r="B4" s="9" t="s">
        <v>23</v>
      </c>
      <c r="C4" s="10">
        <v>46021</v>
      </c>
      <c r="D4" s="10">
        <v>46021</v>
      </c>
      <c r="E4" s="9" t="s">
        <v>36</v>
      </c>
      <c r="F4" s="9" t="s">
        <v>32</v>
      </c>
      <c r="G4" s="9" t="s">
        <v>37</v>
      </c>
      <c r="H4" s="11">
        <v>3552.03</v>
      </c>
      <c r="I4" s="11">
        <v>3498.15</v>
      </c>
      <c r="J4" s="11">
        <v>53.880000000000109</v>
      </c>
      <c r="K4">
        <v>1</v>
      </c>
    </row>
    <row r="5" spans="1:11" x14ac:dyDescent="0.25">
      <c r="A5" s="9" t="s">
        <v>38</v>
      </c>
      <c r="B5" s="9" t="s">
        <v>39</v>
      </c>
      <c r="C5" s="10"/>
      <c r="D5" s="10">
        <v>46020</v>
      </c>
      <c r="E5" s="9" t="s">
        <v>40</v>
      </c>
      <c r="F5" s="9"/>
      <c r="G5" s="9" t="s">
        <v>41</v>
      </c>
      <c r="H5" s="11"/>
      <c r="I5" s="11">
        <v>-15970.35</v>
      </c>
      <c r="J5" s="11">
        <v>15970.35</v>
      </c>
      <c r="K5">
        <v>1</v>
      </c>
    </row>
    <row r="6" spans="1:11" x14ac:dyDescent="0.25">
      <c r="A6" s="9" t="s">
        <v>38</v>
      </c>
      <c r="B6" s="9" t="s">
        <v>39</v>
      </c>
      <c r="C6" s="10"/>
      <c r="D6" s="10">
        <v>46020</v>
      </c>
      <c r="E6" s="9" t="s">
        <v>42</v>
      </c>
      <c r="F6" s="9"/>
      <c r="G6" s="9" t="s">
        <v>43</v>
      </c>
      <c r="H6" s="11"/>
      <c r="I6" s="11">
        <v>-12325.05</v>
      </c>
      <c r="J6" s="11">
        <v>12325.05</v>
      </c>
      <c r="K6">
        <v>1</v>
      </c>
    </row>
    <row r="7" spans="1:11" x14ac:dyDescent="0.25">
      <c r="A7" s="9" t="s">
        <v>38</v>
      </c>
      <c r="B7" s="9" t="s">
        <v>39</v>
      </c>
      <c r="C7" s="10"/>
      <c r="D7" s="10">
        <v>46021</v>
      </c>
      <c r="E7" s="9" t="s">
        <v>44</v>
      </c>
      <c r="F7" s="9"/>
      <c r="G7" s="9" t="s">
        <v>45</v>
      </c>
      <c r="H7" s="11"/>
      <c r="I7" s="11">
        <v>-13292.16</v>
      </c>
      <c r="J7" s="11">
        <v>13292.16</v>
      </c>
      <c r="K7">
        <v>1</v>
      </c>
    </row>
    <row r="8" spans="1:11" x14ac:dyDescent="0.25">
      <c r="A8" s="9" t="s">
        <v>38</v>
      </c>
      <c r="B8" s="9" t="s">
        <v>39</v>
      </c>
      <c r="C8" s="10"/>
      <c r="D8" s="10">
        <v>46021</v>
      </c>
      <c r="E8" s="9" t="s">
        <v>46</v>
      </c>
      <c r="F8" s="9"/>
      <c r="G8" s="9" t="s">
        <v>47</v>
      </c>
      <c r="H8" s="11"/>
      <c r="I8" s="11">
        <v>-37628.160000000003</v>
      </c>
      <c r="J8" s="11">
        <v>37628.160000000003</v>
      </c>
      <c r="K8">
        <v>1</v>
      </c>
    </row>
    <row r="9" spans="1:11" x14ac:dyDescent="0.25">
      <c r="A9" s="9" t="s">
        <v>48</v>
      </c>
      <c r="B9" s="9" t="s">
        <v>39</v>
      </c>
      <c r="C9" s="10">
        <v>45996</v>
      </c>
      <c r="D9" s="10"/>
      <c r="E9" s="9"/>
      <c r="F9" s="9" t="s">
        <v>49</v>
      </c>
      <c r="G9" s="9"/>
      <c r="H9" s="11">
        <v>-189.9</v>
      </c>
      <c r="I9" s="11"/>
      <c r="J9" s="11">
        <v>-189.9</v>
      </c>
      <c r="K9">
        <v>1</v>
      </c>
    </row>
    <row r="10" spans="1:11" x14ac:dyDescent="0.25">
      <c r="A10" s="9" t="s">
        <v>48</v>
      </c>
      <c r="B10" s="9" t="s">
        <v>39</v>
      </c>
      <c r="C10" s="10">
        <v>46003</v>
      </c>
      <c r="D10" s="10"/>
      <c r="E10" s="9"/>
      <c r="F10" s="9" t="s">
        <v>50</v>
      </c>
      <c r="G10" s="9"/>
      <c r="H10" s="11">
        <v>-12.5</v>
      </c>
      <c r="I10" s="11"/>
      <c r="J10" s="11">
        <v>-12.5</v>
      </c>
      <c r="K10">
        <v>1</v>
      </c>
    </row>
    <row r="11" spans="1:11" x14ac:dyDescent="0.25">
      <c r="A11" s="9" t="s">
        <v>48</v>
      </c>
      <c r="B11" s="9" t="s">
        <v>39</v>
      </c>
      <c r="C11" s="10">
        <v>46010</v>
      </c>
      <c r="D11" s="10"/>
      <c r="E11" s="9"/>
      <c r="F11" s="9" t="s">
        <v>50</v>
      </c>
      <c r="G11" s="9"/>
      <c r="H11" s="11">
        <v>-12.5</v>
      </c>
      <c r="I11" s="11"/>
      <c r="J11" s="11">
        <v>-12.5</v>
      </c>
      <c r="K11">
        <v>1</v>
      </c>
    </row>
    <row r="12" spans="1:11" x14ac:dyDescent="0.25">
      <c r="A12" s="9" t="s">
        <v>48</v>
      </c>
      <c r="B12" s="9" t="s">
        <v>39</v>
      </c>
      <c r="C12" s="10">
        <v>46022</v>
      </c>
      <c r="D12" s="10"/>
      <c r="E12" s="9"/>
      <c r="F12" s="9" t="s">
        <v>51</v>
      </c>
      <c r="G12" s="9"/>
      <c r="H12" s="11">
        <v>-3.27</v>
      </c>
      <c r="I12" s="11"/>
      <c r="J12" s="11">
        <v>-3.27</v>
      </c>
      <c r="K12">
        <v>1</v>
      </c>
    </row>
    <row r="13" spans="1:11" x14ac:dyDescent="0.25">
      <c r="A13" s="9" t="s">
        <v>52</v>
      </c>
      <c r="B13" s="9" t="s">
        <v>23</v>
      </c>
      <c r="C13" s="10">
        <v>45992</v>
      </c>
      <c r="D13" s="10">
        <v>45992</v>
      </c>
      <c r="E13" s="9" t="s">
        <v>53</v>
      </c>
      <c r="F13" s="9" t="s">
        <v>32</v>
      </c>
      <c r="G13" s="9" t="s">
        <v>54</v>
      </c>
      <c r="H13" s="11">
        <v>21247.82</v>
      </c>
      <c r="I13" s="11">
        <v>21247.82</v>
      </c>
      <c r="J13" s="11">
        <v>0</v>
      </c>
      <c r="K13">
        <v>1</v>
      </c>
    </row>
    <row r="14" spans="1:11" x14ac:dyDescent="0.25">
      <c r="A14" s="9" t="s">
        <v>52</v>
      </c>
      <c r="B14" s="9" t="s">
        <v>55</v>
      </c>
      <c r="C14" s="10">
        <v>45992</v>
      </c>
      <c r="D14" s="10">
        <v>45992</v>
      </c>
      <c r="E14" s="9" t="s">
        <v>56</v>
      </c>
      <c r="F14" s="9" t="s">
        <v>57</v>
      </c>
      <c r="G14" s="9" t="s">
        <v>58</v>
      </c>
      <c r="H14" s="11">
        <v>7673.63</v>
      </c>
      <c r="I14" s="11">
        <v>7673.63</v>
      </c>
      <c r="J14" s="11">
        <v>0</v>
      </c>
      <c r="K14">
        <v>1</v>
      </c>
    </row>
    <row r="15" spans="1:11" x14ac:dyDescent="0.25">
      <c r="A15" s="9" t="s">
        <v>52</v>
      </c>
      <c r="B15" s="9" t="s">
        <v>23</v>
      </c>
      <c r="C15" s="10">
        <v>45992</v>
      </c>
      <c r="D15" s="10">
        <v>45992</v>
      </c>
      <c r="E15" s="9" t="s">
        <v>59</v>
      </c>
      <c r="F15" s="9" t="s">
        <v>32</v>
      </c>
      <c r="G15" s="9" t="s">
        <v>60</v>
      </c>
      <c r="H15" s="11">
        <v>2164.65</v>
      </c>
      <c r="I15" s="11">
        <v>2164.65</v>
      </c>
      <c r="J15" s="11">
        <v>0</v>
      </c>
      <c r="K15">
        <v>1</v>
      </c>
    </row>
    <row r="16" spans="1:11" x14ac:dyDescent="0.25">
      <c r="A16" s="9" t="s">
        <v>52</v>
      </c>
      <c r="B16" s="9" t="s">
        <v>23</v>
      </c>
      <c r="C16" s="10">
        <v>45992</v>
      </c>
      <c r="D16" s="10">
        <v>45992</v>
      </c>
      <c r="E16" s="9" t="s">
        <v>61</v>
      </c>
      <c r="F16" s="9" t="s">
        <v>32</v>
      </c>
      <c r="G16" s="9" t="s">
        <v>62</v>
      </c>
      <c r="H16" s="11">
        <v>2127.71</v>
      </c>
      <c r="I16" s="11">
        <v>2127.71</v>
      </c>
      <c r="J16" s="11">
        <v>0</v>
      </c>
      <c r="K16">
        <v>1</v>
      </c>
    </row>
    <row r="17" spans="1:11" x14ac:dyDescent="0.25">
      <c r="A17" s="9" t="s">
        <v>52</v>
      </c>
      <c r="B17" s="9" t="s">
        <v>23</v>
      </c>
      <c r="C17" s="10">
        <v>45992</v>
      </c>
      <c r="D17" s="10">
        <v>45992</v>
      </c>
      <c r="E17" s="9" t="s">
        <v>63</v>
      </c>
      <c r="F17" s="9" t="s">
        <v>32</v>
      </c>
      <c r="G17" s="9" t="s">
        <v>64</v>
      </c>
      <c r="H17" s="11">
        <v>2118.64</v>
      </c>
      <c r="I17" s="11">
        <v>2118.64</v>
      </c>
      <c r="J17" s="11">
        <v>0</v>
      </c>
      <c r="K17">
        <v>1</v>
      </c>
    </row>
    <row r="18" spans="1:11" x14ac:dyDescent="0.25">
      <c r="A18" s="9" t="s">
        <v>52</v>
      </c>
      <c r="B18" s="9" t="s">
        <v>23</v>
      </c>
      <c r="C18" s="10">
        <v>45992</v>
      </c>
      <c r="D18" s="10">
        <v>45992</v>
      </c>
      <c r="E18" s="9" t="s">
        <v>65</v>
      </c>
      <c r="F18" s="9" t="s">
        <v>32</v>
      </c>
      <c r="G18" s="9" t="s">
        <v>66</v>
      </c>
      <c r="H18" s="11">
        <v>2102.59</v>
      </c>
      <c r="I18" s="11">
        <v>2102.59</v>
      </c>
      <c r="J18" s="11">
        <v>0</v>
      </c>
      <c r="K18">
        <v>1</v>
      </c>
    </row>
    <row r="19" spans="1:11" x14ac:dyDescent="0.25">
      <c r="A19" s="9" t="s">
        <v>52</v>
      </c>
      <c r="B19" s="9" t="s">
        <v>23</v>
      </c>
      <c r="C19" s="10">
        <v>45992</v>
      </c>
      <c r="D19" s="10">
        <v>45992</v>
      </c>
      <c r="E19" s="9" t="s">
        <v>67</v>
      </c>
      <c r="F19" s="9" t="s">
        <v>32</v>
      </c>
      <c r="G19" s="9" t="s">
        <v>68</v>
      </c>
      <c r="H19" s="11">
        <v>2060.09</v>
      </c>
      <c r="I19" s="11">
        <v>2060.09</v>
      </c>
      <c r="J19" s="11">
        <v>0</v>
      </c>
      <c r="K19">
        <v>1</v>
      </c>
    </row>
    <row r="20" spans="1:11" x14ac:dyDescent="0.25">
      <c r="A20" s="9" t="s">
        <v>52</v>
      </c>
      <c r="B20" s="9" t="s">
        <v>23</v>
      </c>
      <c r="C20" s="10">
        <v>45992</v>
      </c>
      <c r="D20" s="10">
        <v>45992</v>
      </c>
      <c r="E20" s="9" t="s">
        <v>69</v>
      </c>
      <c r="F20" s="9" t="s">
        <v>32</v>
      </c>
      <c r="G20" s="9" t="s">
        <v>70</v>
      </c>
      <c r="H20" s="11">
        <v>1962.34</v>
      </c>
      <c r="I20" s="11">
        <v>1962.34</v>
      </c>
      <c r="J20" s="11">
        <v>0</v>
      </c>
      <c r="K20">
        <v>1</v>
      </c>
    </row>
    <row r="21" spans="1:11" x14ac:dyDescent="0.25">
      <c r="A21" s="9" t="s">
        <v>52</v>
      </c>
      <c r="B21" s="9" t="s">
        <v>23</v>
      </c>
      <c r="C21" s="10">
        <v>45992</v>
      </c>
      <c r="D21" s="10">
        <v>45992</v>
      </c>
      <c r="E21" s="9" t="s">
        <v>71</v>
      </c>
      <c r="F21" s="9" t="s">
        <v>32</v>
      </c>
      <c r="G21" s="9" t="s">
        <v>72</v>
      </c>
      <c r="H21" s="11">
        <v>1952.5</v>
      </c>
      <c r="I21" s="11">
        <v>1952.5</v>
      </c>
      <c r="J21" s="11">
        <v>0</v>
      </c>
      <c r="K21">
        <v>1</v>
      </c>
    </row>
    <row r="22" spans="1:11" x14ac:dyDescent="0.25">
      <c r="A22" s="9" t="s">
        <v>52</v>
      </c>
      <c r="B22" s="9" t="s">
        <v>23</v>
      </c>
      <c r="C22" s="10">
        <v>45992</v>
      </c>
      <c r="D22" s="10">
        <v>45992</v>
      </c>
      <c r="E22" s="9" t="s">
        <v>73</v>
      </c>
      <c r="F22" s="9" t="s">
        <v>32</v>
      </c>
      <c r="G22" s="9" t="s">
        <v>74</v>
      </c>
      <c r="H22" s="11">
        <v>1893.58</v>
      </c>
      <c r="I22" s="11">
        <v>1893.58</v>
      </c>
      <c r="J22" s="11">
        <v>0</v>
      </c>
      <c r="K22">
        <v>1</v>
      </c>
    </row>
    <row r="23" spans="1:11" x14ac:dyDescent="0.25">
      <c r="A23" s="9" t="s">
        <v>52</v>
      </c>
      <c r="B23" s="9" t="s">
        <v>23</v>
      </c>
      <c r="C23" s="10">
        <v>45992</v>
      </c>
      <c r="D23" s="10">
        <v>45992</v>
      </c>
      <c r="E23" s="9" t="s">
        <v>75</v>
      </c>
      <c r="F23" s="9" t="s">
        <v>32</v>
      </c>
      <c r="G23" s="9" t="s">
        <v>76</v>
      </c>
      <c r="H23" s="11">
        <v>1834.96</v>
      </c>
      <c r="I23" s="11">
        <v>1834.96</v>
      </c>
      <c r="J23" s="11">
        <v>0</v>
      </c>
      <c r="K23">
        <v>1</v>
      </c>
    </row>
    <row r="24" spans="1:11" x14ac:dyDescent="0.25">
      <c r="A24" s="9" t="s">
        <v>52</v>
      </c>
      <c r="B24" s="9" t="s">
        <v>23</v>
      </c>
      <c r="C24" s="10">
        <v>45992</v>
      </c>
      <c r="D24" s="10">
        <v>45992</v>
      </c>
      <c r="E24" s="9" t="s">
        <v>77</v>
      </c>
      <c r="F24" s="9" t="s">
        <v>32</v>
      </c>
      <c r="G24" s="9" t="s">
        <v>78</v>
      </c>
      <c r="H24" s="11">
        <v>2216.33</v>
      </c>
      <c r="I24" s="11">
        <v>2216.33</v>
      </c>
      <c r="J24" s="11">
        <v>0</v>
      </c>
      <c r="K24">
        <v>1</v>
      </c>
    </row>
    <row r="25" spans="1:11" x14ac:dyDescent="0.25">
      <c r="A25" s="9" t="s">
        <v>52</v>
      </c>
      <c r="B25" s="9" t="s">
        <v>23</v>
      </c>
      <c r="C25" s="10">
        <v>45992</v>
      </c>
      <c r="D25" s="10">
        <v>45992</v>
      </c>
      <c r="E25" s="9" t="s">
        <v>79</v>
      </c>
      <c r="F25" s="9" t="s">
        <v>32</v>
      </c>
      <c r="G25" s="9" t="s">
        <v>80</v>
      </c>
      <c r="H25" s="11">
        <v>1748.98</v>
      </c>
      <c r="I25" s="11">
        <v>1748.98</v>
      </c>
      <c r="J25" s="11">
        <v>0</v>
      </c>
      <c r="K25">
        <v>1</v>
      </c>
    </row>
    <row r="26" spans="1:11" x14ac:dyDescent="0.25">
      <c r="A26" s="9" t="s">
        <v>52</v>
      </c>
      <c r="B26" s="9" t="s">
        <v>23</v>
      </c>
      <c r="C26" s="10">
        <v>45992</v>
      </c>
      <c r="D26" s="10">
        <v>45992</v>
      </c>
      <c r="E26" s="9" t="s">
        <v>81</v>
      </c>
      <c r="F26" s="9" t="s">
        <v>32</v>
      </c>
      <c r="G26" s="9" t="s">
        <v>82</v>
      </c>
      <c r="H26" s="11">
        <v>1595.51</v>
      </c>
      <c r="I26" s="11">
        <v>1595.51</v>
      </c>
      <c r="J26" s="11">
        <v>0</v>
      </c>
      <c r="K26">
        <v>1</v>
      </c>
    </row>
    <row r="27" spans="1:11" x14ac:dyDescent="0.25">
      <c r="A27" s="9" t="s">
        <v>52</v>
      </c>
      <c r="B27" s="9" t="s">
        <v>23</v>
      </c>
      <c r="C27" s="10">
        <v>45992</v>
      </c>
      <c r="D27" s="10">
        <v>45992</v>
      </c>
      <c r="E27" s="9" t="s">
        <v>83</v>
      </c>
      <c r="F27" s="9" t="s">
        <v>32</v>
      </c>
      <c r="G27" s="9" t="s">
        <v>84</v>
      </c>
      <c r="H27" s="11">
        <v>1539.19</v>
      </c>
      <c r="I27" s="11">
        <v>1539.19</v>
      </c>
      <c r="J27" s="11">
        <v>0</v>
      </c>
      <c r="K27">
        <v>1</v>
      </c>
    </row>
    <row r="28" spans="1:11" x14ac:dyDescent="0.25">
      <c r="A28" s="9" t="s">
        <v>52</v>
      </c>
      <c r="B28" s="9" t="s">
        <v>23</v>
      </c>
      <c r="C28" s="10">
        <v>45992</v>
      </c>
      <c r="D28" s="10">
        <v>45992</v>
      </c>
      <c r="E28" s="9" t="s">
        <v>85</v>
      </c>
      <c r="F28" s="9" t="s">
        <v>32</v>
      </c>
      <c r="G28" s="9" t="s">
        <v>86</v>
      </c>
      <c r="H28" s="11">
        <v>1517.31</v>
      </c>
      <c r="I28" s="11">
        <v>1517.31</v>
      </c>
      <c r="J28" s="11">
        <v>0</v>
      </c>
      <c r="K28">
        <v>1</v>
      </c>
    </row>
    <row r="29" spans="1:11" x14ac:dyDescent="0.25">
      <c r="A29" s="9" t="s">
        <v>52</v>
      </c>
      <c r="B29" s="9" t="s">
        <v>23</v>
      </c>
      <c r="C29" s="10">
        <v>45992</v>
      </c>
      <c r="D29" s="10">
        <v>45992</v>
      </c>
      <c r="E29" s="9" t="s">
        <v>87</v>
      </c>
      <c r="F29" s="9" t="s">
        <v>32</v>
      </c>
      <c r="G29" s="9" t="s">
        <v>88</v>
      </c>
      <c r="H29" s="11">
        <v>1467.67</v>
      </c>
      <c r="I29" s="11">
        <v>1467.67</v>
      </c>
      <c r="J29" s="11">
        <v>0</v>
      </c>
      <c r="K29">
        <v>1</v>
      </c>
    </row>
    <row r="30" spans="1:11" x14ac:dyDescent="0.25">
      <c r="A30" s="9" t="s">
        <v>52</v>
      </c>
      <c r="B30" s="9" t="s">
        <v>23</v>
      </c>
      <c r="C30" s="10">
        <v>45992</v>
      </c>
      <c r="D30" s="10">
        <v>45992</v>
      </c>
      <c r="E30" s="9" t="s">
        <v>89</v>
      </c>
      <c r="F30" s="9" t="s">
        <v>32</v>
      </c>
      <c r="G30" s="9" t="s">
        <v>90</v>
      </c>
      <c r="H30" s="11">
        <v>1465.5</v>
      </c>
      <c r="I30" s="11">
        <v>1465.5</v>
      </c>
      <c r="J30" s="11">
        <v>0</v>
      </c>
      <c r="K30">
        <v>1</v>
      </c>
    </row>
    <row r="31" spans="1:11" x14ac:dyDescent="0.25">
      <c r="A31" s="9" t="s">
        <v>52</v>
      </c>
      <c r="B31" s="9" t="s">
        <v>23</v>
      </c>
      <c r="C31" s="10">
        <v>45992</v>
      </c>
      <c r="D31" s="10">
        <v>45992</v>
      </c>
      <c r="E31" s="9" t="s">
        <v>91</v>
      </c>
      <c r="F31" s="9" t="s">
        <v>32</v>
      </c>
      <c r="G31" s="9" t="s">
        <v>92</v>
      </c>
      <c r="H31" s="11">
        <v>1435.27</v>
      </c>
      <c r="I31" s="11">
        <v>1435.27</v>
      </c>
      <c r="J31" s="11">
        <v>0</v>
      </c>
      <c r="K31">
        <v>1</v>
      </c>
    </row>
    <row r="32" spans="1:11" x14ac:dyDescent="0.25">
      <c r="A32" s="9" t="s">
        <v>52</v>
      </c>
      <c r="B32" s="9" t="s">
        <v>23</v>
      </c>
      <c r="C32" s="10">
        <v>45992</v>
      </c>
      <c r="D32" s="10">
        <v>45992</v>
      </c>
      <c r="E32" s="9" t="s">
        <v>93</v>
      </c>
      <c r="F32" s="9" t="s">
        <v>32</v>
      </c>
      <c r="G32" s="9" t="s">
        <v>80</v>
      </c>
      <c r="H32" s="11">
        <v>1840.96</v>
      </c>
      <c r="I32" s="11">
        <v>1840.96</v>
      </c>
      <c r="J32" s="11">
        <v>0</v>
      </c>
      <c r="K32">
        <v>1</v>
      </c>
    </row>
    <row r="33" spans="1:11" x14ac:dyDescent="0.25">
      <c r="A33" s="9" t="s">
        <v>52</v>
      </c>
      <c r="B33" s="9" t="s">
        <v>23</v>
      </c>
      <c r="C33" s="10">
        <v>45992</v>
      </c>
      <c r="D33" s="10">
        <v>45992</v>
      </c>
      <c r="E33" s="9" t="s">
        <v>94</v>
      </c>
      <c r="F33" s="9" t="s">
        <v>32</v>
      </c>
      <c r="G33" s="9" t="s">
        <v>95</v>
      </c>
      <c r="H33" s="11">
        <v>2239.85</v>
      </c>
      <c r="I33" s="11">
        <v>2239.85</v>
      </c>
      <c r="J33" s="11">
        <v>0</v>
      </c>
      <c r="K33">
        <v>1</v>
      </c>
    </row>
    <row r="34" spans="1:11" x14ac:dyDescent="0.25">
      <c r="A34" s="9" t="s">
        <v>52</v>
      </c>
      <c r="B34" s="9" t="s">
        <v>23</v>
      </c>
      <c r="C34" s="10">
        <v>45992</v>
      </c>
      <c r="D34" s="10">
        <v>45992</v>
      </c>
      <c r="E34" s="9" t="s">
        <v>96</v>
      </c>
      <c r="F34" s="9" t="s">
        <v>32</v>
      </c>
      <c r="G34" s="9" t="s">
        <v>97</v>
      </c>
      <c r="H34" s="11">
        <v>2289.7399999999998</v>
      </c>
      <c r="I34" s="11">
        <v>2289.7399999999998</v>
      </c>
      <c r="J34" s="11">
        <v>0</v>
      </c>
      <c r="K34">
        <v>1</v>
      </c>
    </row>
    <row r="35" spans="1:11" x14ac:dyDescent="0.25">
      <c r="A35" s="9" t="s">
        <v>52</v>
      </c>
      <c r="B35" s="9" t="s">
        <v>23</v>
      </c>
      <c r="C35" s="10">
        <v>45992</v>
      </c>
      <c r="D35" s="10">
        <v>45992</v>
      </c>
      <c r="E35" s="9" t="s">
        <v>98</v>
      </c>
      <c r="F35" s="9" t="s">
        <v>32</v>
      </c>
      <c r="G35" s="9" t="s">
        <v>99</v>
      </c>
      <c r="H35" s="11">
        <v>1433.26</v>
      </c>
      <c r="I35" s="11">
        <v>1433.26</v>
      </c>
      <c r="J35" s="11">
        <v>0</v>
      </c>
      <c r="K35">
        <v>1</v>
      </c>
    </row>
    <row r="36" spans="1:11" x14ac:dyDescent="0.25">
      <c r="A36" s="9" t="s">
        <v>52</v>
      </c>
      <c r="B36" s="9" t="s">
        <v>23</v>
      </c>
      <c r="C36" s="10">
        <v>45992</v>
      </c>
      <c r="D36" s="10">
        <v>45992</v>
      </c>
      <c r="E36" s="9" t="s">
        <v>100</v>
      </c>
      <c r="F36" s="9" t="s">
        <v>32</v>
      </c>
      <c r="G36" s="9" t="s">
        <v>70</v>
      </c>
      <c r="H36" s="11">
        <v>3425.23</v>
      </c>
      <c r="I36" s="11">
        <v>3425.23</v>
      </c>
      <c r="J36" s="11">
        <v>0</v>
      </c>
      <c r="K36">
        <v>1</v>
      </c>
    </row>
    <row r="37" spans="1:11" x14ac:dyDescent="0.25">
      <c r="A37" s="9" t="s">
        <v>52</v>
      </c>
      <c r="B37" s="9" t="s">
        <v>23</v>
      </c>
      <c r="C37" s="10">
        <v>45992</v>
      </c>
      <c r="D37" s="10">
        <v>45992</v>
      </c>
      <c r="E37" s="9" t="s">
        <v>101</v>
      </c>
      <c r="F37" s="9" t="s">
        <v>32</v>
      </c>
      <c r="G37" s="9" t="s">
        <v>102</v>
      </c>
      <c r="H37" s="11">
        <v>3416.86</v>
      </c>
      <c r="I37" s="11">
        <v>3416.86</v>
      </c>
      <c r="J37" s="11">
        <v>0</v>
      </c>
      <c r="K37">
        <v>1</v>
      </c>
    </row>
    <row r="38" spans="1:11" x14ac:dyDescent="0.25">
      <c r="A38" s="9" t="s">
        <v>52</v>
      </c>
      <c r="B38" s="9" t="s">
        <v>23</v>
      </c>
      <c r="C38" s="10">
        <v>45992</v>
      </c>
      <c r="D38" s="10">
        <v>45992</v>
      </c>
      <c r="E38" s="9" t="s">
        <v>103</v>
      </c>
      <c r="F38" s="9" t="s">
        <v>32</v>
      </c>
      <c r="G38" s="9" t="s">
        <v>104</v>
      </c>
      <c r="H38" s="11">
        <v>3242.37</v>
      </c>
      <c r="I38" s="11">
        <v>3242.37</v>
      </c>
      <c r="J38" s="11">
        <v>0</v>
      </c>
      <c r="K38">
        <v>1</v>
      </c>
    </row>
    <row r="39" spans="1:11" x14ac:dyDescent="0.25">
      <c r="A39" s="9" t="s">
        <v>52</v>
      </c>
      <c r="B39" s="9" t="s">
        <v>23</v>
      </c>
      <c r="C39" s="10">
        <v>45992</v>
      </c>
      <c r="D39" s="10">
        <v>45992</v>
      </c>
      <c r="E39" s="9" t="s">
        <v>105</v>
      </c>
      <c r="F39" s="9" t="s">
        <v>32</v>
      </c>
      <c r="G39" s="9" t="s">
        <v>106</v>
      </c>
      <c r="H39" s="11">
        <v>3191.76</v>
      </c>
      <c r="I39" s="11">
        <v>3191.76</v>
      </c>
      <c r="J39" s="11">
        <v>0</v>
      </c>
      <c r="K39">
        <v>1</v>
      </c>
    </row>
    <row r="40" spans="1:11" x14ac:dyDescent="0.25">
      <c r="A40" s="9" t="s">
        <v>52</v>
      </c>
      <c r="B40" s="9" t="s">
        <v>23</v>
      </c>
      <c r="C40" s="10">
        <v>45992</v>
      </c>
      <c r="D40" s="10">
        <v>45992</v>
      </c>
      <c r="E40" s="9" t="s">
        <v>107</v>
      </c>
      <c r="F40" s="9" t="s">
        <v>32</v>
      </c>
      <c r="G40" s="9" t="s">
        <v>108</v>
      </c>
      <c r="H40" s="11">
        <v>2922.14</v>
      </c>
      <c r="I40" s="11">
        <v>2922.14</v>
      </c>
      <c r="J40" s="11">
        <v>0</v>
      </c>
      <c r="K40">
        <v>1</v>
      </c>
    </row>
    <row r="41" spans="1:11" x14ac:dyDescent="0.25">
      <c r="A41" s="9" t="s">
        <v>52</v>
      </c>
      <c r="B41" s="9" t="s">
        <v>23</v>
      </c>
      <c r="C41" s="10">
        <v>45992</v>
      </c>
      <c r="D41" s="10">
        <v>45992</v>
      </c>
      <c r="E41" s="9" t="s">
        <v>109</v>
      </c>
      <c r="F41" s="9" t="s">
        <v>32</v>
      </c>
      <c r="G41" s="9" t="s">
        <v>110</v>
      </c>
      <c r="H41" s="11">
        <v>2900.54</v>
      </c>
      <c r="I41" s="11">
        <v>2900.54</v>
      </c>
      <c r="J41" s="11">
        <v>0</v>
      </c>
      <c r="K41">
        <v>1</v>
      </c>
    </row>
    <row r="42" spans="1:11" x14ac:dyDescent="0.25">
      <c r="A42" s="9" t="s">
        <v>52</v>
      </c>
      <c r="B42" s="9" t="s">
        <v>23</v>
      </c>
      <c r="C42" s="10">
        <v>45992</v>
      </c>
      <c r="D42" s="10">
        <v>45992</v>
      </c>
      <c r="E42" s="9" t="s">
        <v>111</v>
      </c>
      <c r="F42" s="9" t="s">
        <v>32</v>
      </c>
      <c r="G42" s="9" t="s">
        <v>112</v>
      </c>
      <c r="H42" s="11">
        <v>2883.71</v>
      </c>
      <c r="I42" s="11">
        <v>2883.71</v>
      </c>
      <c r="J42" s="11">
        <v>0</v>
      </c>
      <c r="K42">
        <v>1</v>
      </c>
    </row>
    <row r="43" spans="1:11" x14ac:dyDescent="0.25">
      <c r="A43" s="9" t="s">
        <v>52</v>
      </c>
      <c r="B43" s="9" t="s">
        <v>23</v>
      </c>
      <c r="C43" s="10">
        <v>45992</v>
      </c>
      <c r="D43" s="10">
        <v>45992</v>
      </c>
      <c r="E43" s="9" t="s">
        <v>113</v>
      </c>
      <c r="F43" s="9" t="s">
        <v>32</v>
      </c>
      <c r="G43" s="9" t="s">
        <v>114</v>
      </c>
      <c r="H43" s="11">
        <v>2848.63</v>
      </c>
      <c r="I43" s="11">
        <v>2848.63</v>
      </c>
      <c r="J43" s="11">
        <v>0</v>
      </c>
      <c r="K43">
        <v>1</v>
      </c>
    </row>
    <row r="44" spans="1:11" x14ac:dyDescent="0.25">
      <c r="A44" s="9" t="s">
        <v>52</v>
      </c>
      <c r="B44" s="9" t="s">
        <v>23</v>
      </c>
      <c r="C44" s="10">
        <v>45992</v>
      </c>
      <c r="D44" s="10">
        <v>45992</v>
      </c>
      <c r="E44" s="9" t="s">
        <v>115</v>
      </c>
      <c r="F44" s="9" t="s">
        <v>32</v>
      </c>
      <c r="G44" s="9" t="s">
        <v>116</v>
      </c>
      <c r="H44" s="11">
        <v>2736.89</v>
      </c>
      <c r="I44" s="11">
        <v>2736.89</v>
      </c>
      <c r="J44" s="11">
        <v>0</v>
      </c>
      <c r="K44">
        <v>1</v>
      </c>
    </row>
    <row r="45" spans="1:11" x14ac:dyDescent="0.25">
      <c r="A45" s="9" t="s">
        <v>52</v>
      </c>
      <c r="B45" s="9" t="s">
        <v>23</v>
      </c>
      <c r="C45" s="10">
        <v>45992</v>
      </c>
      <c r="D45" s="10">
        <v>45992</v>
      </c>
      <c r="E45" s="9" t="s">
        <v>117</v>
      </c>
      <c r="F45" s="9" t="s">
        <v>32</v>
      </c>
      <c r="G45" s="9" t="s">
        <v>118</v>
      </c>
      <c r="H45" s="11">
        <v>2722.74</v>
      </c>
      <c r="I45" s="11">
        <v>2722.74</v>
      </c>
      <c r="J45" s="11">
        <v>0</v>
      </c>
      <c r="K45">
        <v>1</v>
      </c>
    </row>
    <row r="46" spans="1:11" x14ac:dyDescent="0.25">
      <c r="A46" s="9" t="s">
        <v>52</v>
      </c>
      <c r="B46" s="9" t="s">
        <v>23</v>
      </c>
      <c r="C46" s="10">
        <v>45992</v>
      </c>
      <c r="D46" s="10">
        <v>45992</v>
      </c>
      <c r="E46" s="9" t="s">
        <v>119</v>
      </c>
      <c r="F46" s="9" t="s">
        <v>32</v>
      </c>
      <c r="G46" s="9" t="s">
        <v>120</v>
      </c>
      <c r="H46" s="11">
        <v>2670.48</v>
      </c>
      <c r="I46" s="11">
        <v>2670.48</v>
      </c>
      <c r="J46" s="11">
        <v>0</v>
      </c>
      <c r="K46">
        <v>1</v>
      </c>
    </row>
    <row r="47" spans="1:11" x14ac:dyDescent="0.25">
      <c r="A47" s="9" t="s">
        <v>52</v>
      </c>
      <c r="B47" s="9" t="s">
        <v>23</v>
      </c>
      <c r="C47" s="10">
        <v>45992</v>
      </c>
      <c r="D47" s="10">
        <v>45992</v>
      </c>
      <c r="E47" s="9" t="s">
        <v>121</v>
      </c>
      <c r="F47" s="9" t="s">
        <v>32</v>
      </c>
      <c r="G47" s="9" t="s">
        <v>122</v>
      </c>
      <c r="H47" s="11">
        <v>2669.5</v>
      </c>
      <c r="I47" s="11">
        <v>2669.5</v>
      </c>
      <c r="J47" s="11">
        <v>0</v>
      </c>
      <c r="K47">
        <v>1</v>
      </c>
    </row>
    <row r="48" spans="1:11" x14ac:dyDescent="0.25">
      <c r="A48" s="9" t="s">
        <v>52</v>
      </c>
      <c r="B48" s="9" t="s">
        <v>23</v>
      </c>
      <c r="C48" s="10">
        <v>45992</v>
      </c>
      <c r="D48" s="10">
        <v>45992</v>
      </c>
      <c r="E48" s="9" t="s">
        <v>123</v>
      </c>
      <c r="F48" s="9" t="s">
        <v>32</v>
      </c>
      <c r="G48" s="9" t="s">
        <v>124</v>
      </c>
      <c r="H48" s="11">
        <v>2634.31</v>
      </c>
      <c r="I48" s="11">
        <v>2634.31</v>
      </c>
      <c r="J48" s="11">
        <v>0</v>
      </c>
      <c r="K48">
        <v>1</v>
      </c>
    </row>
    <row r="49" spans="1:11" x14ac:dyDescent="0.25">
      <c r="A49" s="9" t="s">
        <v>52</v>
      </c>
      <c r="B49" s="9" t="s">
        <v>23</v>
      </c>
      <c r="C49" s="10">
        <v>45992</v>
      </c>
      <c r="D49" s="10">
        <v>45992</v>
      </c>
      <c r="E49" s="9" t="s">
        <v>125</v>
      </c>
      <c r="F49" s="9" t="s">
        <v>32</v>
      </c>
      <c r="G49" s="9" t="s">
        <v>112</v>
      </c>
      <c r="H49" s="11">
        <v>2471.04</v>
      </c>
      <c r="I49" s="11">
        <v>2471.04</v>
      </c>
      <c r="J49" s="11">
        <v>0</v>
      </c>
      <c r="K49">
        <v>1</v>
      </c>
    </row>
    <row r="50" spans="1:11" x14ac:dyDescent="0.25">
      <c r="A50" s="9" t="s">
        <v>52</v>
      </c>
      <c r="B50" s="9" t="s">
        <v>23</v>
      </c>
      <c r="C50" s="10">
        <v>45992</v>
      </c>
      <c r="D50" s="10">
        <v>45992</v>
      </c>
      <c r="E50" s="9" t="s">
        <v>126</v>
      </c>
      <c r="F50" s="9" t="s">
        <v>32</v>
      </c>
      <c r="G50" s="9" t="s">
        <v>127</v>
      </c>
      <c r="H50" s="11">
        <v>2396.46</v>
      </c>
      <c r="I50" s="11">
        <v>2396.46</v>
      </c>
      <c r="J50" s="11">
        <v>0</v>
      </c>
      <c r="K50">
        <v>1</v>
      </c>
    </row>
    <row r="51" spans="1:11" x14ac:dyDescent="0.25">
      <c r="A51" s="9" t="s">
        <v>52</v>
      </c>
      <c r="B51" s="9" t="s">
        <v>23</v>
      </c>
      <c r="C51" s="10">
        <v>45992</v>
      </c>
      <c r="D51" s="10">
        <v>45992</v>
      </c>
      <c r="E51" s="9" t="s">
        <v>128</v>
      </c>
      <c r="F51" s="9" t="s">
        <v>32</v>
      </c>
      <c r="G51" s="9" t="s">
        <v>129</v>
      </c>
      <c r="H51" s="11">
        <v>2350.7800000000002</v>
      </c>
      <c r="I51" s="11">
        <v>2350.7800000000002</v>
      </c>
      <c r="J51" s="11">
        <v>0</v>
      </c>
      <c r="K51">
        <v>1</v>
      </c>
    </row>
    <row r="52" spans="1:11" x14ac:dyDescent="0.25">
      <c r="A52" s="9" t="s">
        <v>52</v>
      </c>
      <c r="B52" s="9" t="s">
        <v>23</v>
      </c>
      <c r="C52" s="10">
        <v>45992</v>
      </c>
      <c r="D52" s="10">
        <v>45992</v>
      </c>
      <c r="E52" s="9" t="s">
        <v>130</v>
      </c>
      <c r="F52" s="9" t="s">
        <v>32</v>
      </c>
      <c r="G52" s="9" t="s">
        <v>131</v>
      </c>
      <c r="H52" s="11">
        <v>2317.2399999999998</v>
      </c>
      <c r="I52" s="11">
        <v>2317.2399999999998</v>
      </c>
      <c r="J52" s="11">
        <v>0</v>
      </c>
      <c r="K52">
        <v>1</v>
      </c>
    </row>
    <row r="53" spans="1:11" x14ac:dyDescent="0.25">
      <c r="A53" s="9" t="s">
        <v>52</v>
      </c>
      <c r="B53" s="9" t="s">
        <v>23</v>
      </c>
      <c r="C53" s="10">
        <v>45992</v>
      </c>
      <c r="D53" s="10">
        <v>45992</v>
      </c>
      <c r="E53" s="9" t="s">
        <v>132</v>
      </c>
      <c r="F53" s="9" t="s">
        <v>32</v>
      </c>
      <c r="G53" s="9" t="s">
        <v>133</v>
      </c>
      <c r="H53" s="11">
        <v>2274.7600000000002</v>
      </c>
      <c r="I53" s="11">
        <v>2274.7600000000002</v>
      </c>
      <c r="J53" s="11">
        <v>0</v>
      </c>
      <c r="K53">
        <v>1</v>
      </c>
    </row>
    <row r="54" spans="1:11" x14ac:dyDescent="0.25">
      <c r="A54" s="9" t="s">
        <v>52</v>
      </c>
      <c r="B54" s="9" t="s">
        <v>23</v>
      </c>
      <c r="C54" s="10">
        <v>45992</v>
      </c>
      <c r="D54" s="10">
        <v>45992</v>
      </c>
      <c r="E54" s="9" t="s">
        <v>134</v>
      </c>
      <c r="F54" s="9" t="s">
        <v>32</v>
      </c>
      <c r="G54" s="9" t="s">
        <v>135</v>
      </c>
      <c r="H54" s="11">
        <v>1331.34</v>
      </c>
      <c r="I54" s="11">
        <v>1331.34</v>
      </c>
      <c r="J54" s="11">
        <v>0</v>
      </c>
      <c r="K54">
        <v>1</v>
      </c>
    </row>
    <row r="55" spans="1:11" x14ac:dyDescent="0.25">
      <c r="A55" s="9" t="s">
        <v>52</v>
      </c>
      <c r="B55" s="9" t="s">
        <v>23</v>
      </c>
      <c r="C55" s="10">
        <v>45992</v>
      </c>
      <c r="D55" s="10">
        <v>45992</v>
      </c>
      <c r="E55" s="9" t="s">
        <v>136</v>
      </c>
      <c r="F55" s="9" t="s">
        <v>32</v>
      </c>
      <c r="G55" s="9" t="s">
        <v>137</v>
      </c>
      <c r="H55" s="11">
        <v>1255.5</v>
      </c>
      <c r="I55" s="11">
        <v>1255.5</v>
      </c>
      <c r="J55" s="11">
        <v>0</v>
      </c>
      <c r="K55">
        <v>1</v>
      </c>
    </row>
    <row r="56" spans="1:11" x14ac:dyDescent="0.25">
      <c r="A56" s="9" t="s">
        <v>52</v>
      </c>
      <c r="B56" s="9" t="s">
        <v>23</v>
      </c>
      <c r="C56" s="10">
        <v>45992</v>
      </c>
      <c r="D56" s="10">
        <v>45992</v>
      </c>
      <c r="E56" s="9" t="s">
        <v>138</v>
      </c>
      <c r="F56" s="9" t="s">
        <v>32</v>
      </c>
      <c r="G56" s="9" t="s">
        <v>139</v>
      </c>
      <c r="H56" s="11">
        <v>3480.97</v>
      </c>
      <c r="I56" s="11">
        <v>3480.97</v>
      </c>
      <c r="J56" s="11">
        <v>0</v>
      </c>
      <c r="K56">
        <v>1</v>
      </c>
    </row>
    <row r="57" spans="1:11" x14ac:dyDescent="0.25">
      <c r="A57" s="9" t="s">
        <v>52</v>
      </c>
      <c r="B57" s="9" t="s">
        <v>23</v>
      </c>
      <c r="C57" s="10">
        <v>45992</v>
      </c>
      <c r="D57" s="10">
        <v>45992</v>
      </c>
      <c r="E57" s="9" t="s">
        <v>140</v>
      </c>
      <c r="F57" s="9" t="s">
        <v>141</v>
      </c>
      <c r="G57" s="9" t="s">
        <v>142</v>
      </c>
      <c r="H57" s="11">
        <v>-2632.26</v>
      </c>
      <c r="I57" s="11">
        <v>-2632.26</v>
      </c>
      <c r="J57" s="11">
        <v>0</v>
      </c>
      <c r="K57">
        <v>1</v>
      </c>
    </row>
    <row r="58" spans="1:11" x14ac:dyDescent="0.25">
      <c r="A58" s="9" t="s">
        <v>52</v>
      </c>
      <c r="B58" s="9" t="s">
        <v>23</v>
      </c>
      <c r="C58" s="10">
        <v>45992</v>
      </c>
      <c r="D58" s="10">
        <v>45992</v>
      </c>
      <c r="E58" s="9" t="s">
        <v>143</v>
      </c>
      <c r="F58" s="9" t="s">
        <v>141</v>
      </c>
      <c r="G58" s="9" t="s">
        <v>144</v>
      </c>
      <c r="H58" s="11">
        <v>-2720</v>
      </c>
      <c r="I58" s="11">
        <v>-2720</v>
      </c>
      <c r="J58" s="11">
        <v>0</v>
      </c>
      <c r="K58">
        <v>1</v>
      </c>
    </row>
    <row r="59" spans="1:11" x14ac:dyDescent="0.25">
      <c r="A59" s="9" t="s">
        <v>52</v>
      </c>
      <c r="B59" s="9" t="s">
        <v>23</v>
      </c>
      <c r="C59" s="10">
        <v>45992</v>
      </c>
      <c r="D59" s="10">
        <v>45992</v>
      </c>
      <c r="E59" s="9" t="s">
        <v>145</v>
      </c>
      <c r="F59" s="9" t="s">
        <v>141</v>
      </c>
      <c r="G59" s="9" t="s">
        <v>146</v>
      </c>
      <c r="H59" s="11">
        <v>-2785.81</v>
      </c>
      <c r="I59" s="11">
        <v>-2785.81</v>
      </c>
      <c r="J59" s="11">
        <v>0</v>
      </c>
      <c r="K59">
        <v>1</v>
      </c>
    </row>
    <row r="60" spans="1:11" x14ac:dyDescent="0.25">
      <c r="A60" s="9" t="s">
        <v>52</v>
      </c>
      <c r="B60" s="9" t="s">
        <v>23</v>
      </c>
      <c r="C60" s="10">
        <v>45992</v>
      </c>
      <c r="D60" s="10">
        <v>45992</v>
      </c>
      <c r="E60" s="9" t="s">
        <v>147</v>
      </c>
      <c r="F60" s="9" t="s">
        <v>141</v>
      </c>
      <c r="G60" s="9" t="s">
        <v>148</v>
      </c>
      <c r="H60" s="11">
        <v>-3400</v>
      </c>
      <c r="I60" s="11">
        <v>-3400</v>
      </c>
      <c r="J60" s="11">
        <v>0</v>
      </c>
      <c r="K60">
        <v>1</v>
      </c>
    </row>
    <row r="61" spans="1:11" x14ac:dyDescent="0.25">
      <c r="A61" s="9" t="s">
        <v>52</v>
      </c>
      <c r="B61" s="9" t="s">
        <v>23</v>
      </c>
      <c r="C61" s="10">
        <v>45992</v>
      </c>
      <c r="D61" s="10">
        <v>45992</v>
      </c>
      <c r="E61" s="9" t="s">
        <v>149</v>
      </c>
      <c r="F61" s="9" t="s">
        <v>141</v>
      </c>
      <c r="G61" s="9" t="s">
        <v>150</v>
      </c>
      <c r="H61" s="11">
        <v>-4080</v>
      </c>
      <c r="I61" s="11">
        <v>-4080</v>
      </c>
      <c r="J61" s="11">
        <v>0</v>
      </c>
      <c r="K61">
        <v>1</v>
      </c>
    </row>
    <row r="62" spans="1:11" x14ac:dyDescent="0.25">
      <c r="A62" s="9" t="s">
        <v>52</v>
      </c>
      <c r="B62" s="9" t="s">
        <v>23</v>
      </c>
      <c r="C62" s="10">
        <v>45992</v>
      </c>
      <c r="D62" s="10">
        <v>45992</v>
      </c>
      <c r="E62" s="9" t="s">
        <v>151</v>
      </c>
      <c r="F62" s="9" t="s">
        <v>141</v>
      </c>
      <c r="G62" s="9" t="s">
        <v>152</v>
      </c>
      <c r="H62" s="11">
        <v>-4672.26</v>
      </c>
      <c r="I62" s="11">
        <v>-4672.26</v>
      </c>
      <c r="J62" s="11">
        <v>0</v>
      </c>
      <c r="K62">
        <v>1</v>
      </c>
    </row>
    <row r="63" spans="1:11" x14ac:dyDescent="0.25">
      <c r="A63" s="9" t="s">
        <v>52</v>
      </c>
      <c r="B63" s="9" t="s">
        <v>23</v>
      </c>
      <c r="C63" s="10">
        <v>45992</v>
      </c>
      <c r="D63" s="10">
        <v>45992</v>
      </c>
      <c r="E63" s="9" t="s">
        <v>153</v>
      </c>
      <c r="F63" s="9" t="s">
        <v>141</v>
      </c>
      <c r="G63" s="9" t="s">
        <v>154</v>
      </c>
      <c r="H63" s="11">
        <v>-5595.2</v>
      </c>
      <c r="I63" s="11">
        <v>-5595.2</v>
      </c>
      <c r="J63" s="11">
        <v>0</v>
      </c>
      <c r="K63">
        <v>1</v>
      </c>
    </row>
    <row r="64" spans="1:11" x14ac:dyDescent="0.25">
      <c r="A64" s="9" t="s">
        <v>52</v>
      </c>
      <c r="B64" s="9" t="s">
        <v>23</v>
      </c>
      <c r="C64" s="10">
        <v>45992</v>
      </c>
      <c r="D64" s="10">
        <v>45992</v>
      </c>
      <c r="E64" s="9" t="s">
        <v>155</v>
      </c>
      <c r="F64" s="9" t="s">
        <v>141</v>
      </c>
      <c r="G64" s="9" t="s">
        <v>156</v>
      </c>
      <c r="H64" s="11">
        <v>-6800</v>
      </c>
      <c r="I64" s="11">
        <v>-6800</v>
      </c>
      <c r="J64" s="11">
        <v>0</v>
      </c>
      <c r="K64">
        <v>1</v>
      </c>
    </row>
    <row r="65" spans="1:11" x14ac:dyDescent="0.25">
      <c r="A65" s="9" t="s">
        <v>52</v>
      </c>
      <c r="B65" s="9" t="s">
        <v>23</v>
      </c>
      <c r="C65" s="10">
        <v>45992</v>
      </c>
      <c r="D65" s="10">
        <v>45992</v>
      </c>
      <c r="E65" s="9" t="s">
        <v>157</v>
      </c>
      <c r="F65" s="9" t="s">
        <v>141</v>
      </c>
      <c r="G65" s="9" t="s">
        <v>158</v>
      </c>
      <c r="H65" s="11">
        <v>-6800</v>
      </c>
      <c r="I65" s="11">
        <v>-6800</v>
      </c>
      <c r="J65" s="11">
        <v>0</v>
      </c>
      <c r="K65">
        <v>1</v>
      </c>
    </row>
    <row r="66" spans="1:11" x14ac:dyDescent="0.25">
      <c r="A66" s="9" t="s">
        <v>52</v>
      </c>
      <c r="B66" s="9" t="s">
        <v>23</v>
      </c>
      <c r="C66" s="10">
        <v>45992</v>
      </c>
      <c r="D66" s="10">
        <v>45992</v>
      </c>
      <c r="E66" s="9" t="s">
        <v>159</v>
      </c>
      <c r="F66" s="9" t="s">
        <v>141</v>
      </c>
      <c r="G66" s="9" t="s">
        <v>160</v>
      </c>
      <c r="H66" s="11">
        <v>-7382.22</v>
      </c>
      <c r="I66" s="11">
        <v>-7382.22</v>
      </c>
      <c r="J66" s="11">
        <v>0</v>
      </c>
      <c r="K66">
        <v>1</v>
      </c>
    </row>
    <row r="67" spans="1:11" x14ac:dyDescent="0.25">
      <c r="A67" s="9" t="s">
        <v>52</v>
      </c>
      <c r="B67" s="9" t="s">
        <v>23</v>
      </c>
      <c r="C67" s="10">
        <v>45992</v>
      </c>
      <c r="D67" s="10">
        <v>45992</v>
      </c>
      <c r="E67" s="9" t="s">
        <v>161</v>
      </c>
      <c r="F67" s="9" t="s">
        <v>141</v>
      </c>
      <c r="G67" s="9" t="s">
        <v>162</v>
      </c>
      <c r="H67" s="11">
        <v>-8054</v>
      </c>
      <c r="I67" s="11">
        <v>-8054</v>
      </c>
      <c r="J67" s="11">
        <v>0</v>
      </c>
      <c r="K67">
        <v>1</v>
      </c>
    </row>
    <row r="68" spans="1:11" x14ac:dyDescent="0.25">
      <c r="A68" s="9" t="s">
        <v>52</v>
      </c>
      <c r="B68" s="9" t="s">
        <v>23</v>
      </c>
      <c r="C68" s="10">
        <v>45992</v>
      </c>
      <c r="D68" s="10">
        <v>45992</v>
      </c>
      <c r="E68" s="9" t="s">
        <v>163</v>
      </c>
      <c r="F68" s="9" t="s">
        <v>141</v>
      </c>
      <c r="G68" s="9" t="s">
        <v>164</v>
      </c>
      <c r="H68" s="11">
        <v>-8879.7199999999993</v>
      </c>
      <c r="I68" s="11">
        <v>-8879.7199999999993</v>
      </c>
      <c r="J68" s="11">
        <v>0</v>
      </c>
      <c r="K68">
        <v>1</v>
      </c>
    </row>
    <row r="69" spans="1:11" x14ac:dyDescent="0.25">
      <c r="A69" s="9" t="s">
        <v>52</v>
      </c>
      <c r="B69" s="9" t="s">
        <v>23</v>
      </c>
      <c r="C69" s="10">
        <v>45992</v>
      </c>
      <c r="D69" s="10">
        <v>45992</v>
      </c>
      <c r="E69" s="9" t="s">
        <v>165</v>
      </c>
      <c r="F69" s="9" t="s">
        <v>141</v>
      </c>
      <c r="G69" s="9" t="s">
        <v>166</v>
      </c>
      <c r="H69" s="11">
        <v>-13256.49</v>
      </c>
      <c r="I69" s="11">
        <v>-13256.49</v>
      </c>
      <c r="J69" s="11">
        <v>0</v>
      </c>
      <c r="K69">
        <v>1</v>
      </c>
    </row>
    <row r="70" spans="1:11" x14ac:dyDescent="0.25">
      <c r="A70" s="9" t="s">
        <v>52</v>
      </c>
      <c r="B70" s="9" t="s">
        <v>23</v>
      </c>
      <c r="C70" s="10">
        <v>45992</v>
      </c>
      <c r="D70" s="10">
        <v>45992</v>
      </c>
      <c r="E70" s="9" t="s">
        <v>167</v>
      </c>
      <c r="F70" s="9" t="s">
        <v>141</v>
      </c>
      <c r="G70" s="9" t="s">
        <v>168</v>
      </c>
      <c r="H70" s="11">
        <v>-14597.57</v>
      </c>
      <c r="I70" s="11">
        <v>-14597.57</v>
      </c>
      <c r="J70" s="11">
        <v>0</v>
      </c>
      <c r="K70">
        <v>1</v>
      </c>
    </row>
    <row r="71" spans="1:11" x14ac:dyDescent="0.25">
      <c r="A71" s="9" t="s">
        <v>52</v>
      </c>
      <c r="B71" s="9" t="s">
        <v>23</v>
      </c>
      <c r="C71" s="10">
        <v>45992</v>
      </c>
      <c r="D71" s="10">
        <v>45992</v>
      </c>
      <c r="E71" s="9" t="s">
        <v>169</v>
      </c>
      <c r="F71" s="9" t="s">
        <v>141</v>
      </c>
      <c r="G71" s="9" t="s">
        <v>170</v>
      </c>
      <c r="H71" s="11">
        <v>-20224.52</v>
      </c>
      <c r="I71" s="11">
        <v>-20224.52</v>
      </c>
      <c r="J71" s="11">
        <v>0</v>
      </c>
      <c r="K71">
        <v>1</v>
      </c>
    </row>
    <row r="72" spans="1:11" x14ac:dyDescent="0.25">
      <c r="A72" s="9" t="s">
        <v>52</v>
      </c>
      <c r="B72" s="9" t="s">
        <v>23</v>
      </c>
      <c r="C72" s="10">
        <v>45992</v>
      </c>
      <c r="D72" s="10">
        <v>45992</v>
      </c>
      <c r="E72" s="9" t="s">
        <v>171</v>
      </c>
      <c r="F72" s="9" t="s">
        <v>141</v>
      </c>
      <c r="G72" s="9" t="s">
        <v>172</v>
      </c>
      <c r="H72" s="11">
        <v>-24102.16</v>
      </c>
      <c r="I72" s="11">
        <v>-24102.16</v>
      </c>
      <c r="J72" s="11">
        <v>0</v>
      </c>
      <c r="K72">
        <v>1</v>
      </c>
    </row>
    <row r="73" spans="1:11" x14ac:dyDescent="0.25">
      <c r="A73" s="9" t="s">
        <v>52</v>
      </c>
      <c r="B73" s="9" t="s">
        <v>23</v>
      </c>
      <c r="C73" s="10">
        <v>45992</v>
      </c>
      <c r="D73" s="10">
        <v>45992</v>
      </c>
      <c r="E73" s="9" t="s">
        <v>173</v>
      </c>
      <c r="F73" s="9" t="s">
        <v>141</v>
      </c>
      <c r="G73" s="9" t="s">
        <v>174</v>
      </c>
      <c r="H73" s="11">
        <v>-35735.46</v>
      </c>
      <c r="I73" s="11">
        <v>-35735.46</v>
      </c>
      <c r="J73" s="11">
        <v>0</v>
      </c>
      <c r="K73">
        <v>1</v>
      </c>
    </row>
    <row r="74" spans="1:11" x14ac:dyDescent="0.25">
      <c r="A74" s="9" t="s">
        <v>52</v>
      </c>
      <c r="B74" s="9" t="s">
        <v>23</v>
      </c>
      <c r="C74" s="10">
        <v>45992</v>
      </c>
      <c r="D74" s="10">
        <v>45992</v>
      </c>
      <c r="E74" s="9" t="s">
        <v>175</v>
      </c>
      <c r="F74" s="9" t="s">
        <v>141</v>
      </c>
      <c r="G74" s="9" t="s">
        <v>176</v>
      </c>
      <c r="H74" s="11">
        <v>-2040</v>
      </c>
      <c r="I74" s="11">
        <v>-2040</v>
      </c>
      <c r="J74" s="11">
        <v>0</v>
      </c>
      <c r="K74">
        <v>1</v>
      </c>
    </row>
    <row r="75" spans="1:11" x14ac:dyDescent="0.25">
      <c r="A75" s="9" t="s">
        <v>52</v>
      </c>
      <c r="B75" s="9" t="s">
        <v>23</v>
      </c>
      <c r="C75" s="10">
        <v>45992</v>
      </c>
      <c r="D75" s="10">
        <v>45992</v>
      </c>
      <c r="E75" s="9" t="s">
        <v>177</v>
      </c>
      <c r="F75" s="9" t="s">
        <v>141</v>
      </c>
      <c r="G75" s="9" t="s">
        <v>178</v>
      </c>
      <c r="H75" s="11">
        <v>-2040</v>
      </c>
      <c r="I75" s="11">
        <v>-2040</v>
      </c>
      <c r="J75" s="11">
        <v>0</v>
      </c>
      <c r="K75">
        <v>1</v>
      </c>
    </row>
    <row r="76" spans="1:11" x14ac:dyDescent="0.25">
      <c r="A76" s="9" t="s">
        <v>52</v>
      </c>
      <c r="B76" s="9" t="s">
        <v>23</v>
      </c>
      <c r="C76" s="10">
        <v>45992</v>
      </c>
      <c r="D76" s="10">
        <v>45992</v>
      </c>
      <c r="E76" s="9" t="s">
        <v>179</v>
      </c>
      <c r="F76" s="9" t="s">
        <v>141</v>
      </c>
      <c r="G76" s="9" t="s">
        <v>180</v>
      </c>
      <c r="H76" s="11">
        <v>-2040</v>
      </c>
      <c r="I76" s="11">
        <v>-2040</v>
      </c>
      <c r="J76" s="11">
        <v>0</v>
      </c>
      <c r="K76">
        <v>1</v>
      </c>
    </row>
    <row r="77" spans="1:11" x14ac:dyDescent="0.25">
      <c r="A77" s="9" t="s">
        <v>52</v>
      </c>
      <c r="B77" s="9" t="s">
        <v>23</v>
      </c>
      <c r="C77" s="10">
        <v>45992</v>
      </c>
      <c r="D77" s="10">
        <v>45992</v>
      </c>
      <c r="E77" s="9" t="s">
        <v>181</v>
      </c>
      <c r="F77" s="9" t="s">
        <v>141</v>
      </c>
      <c r="G77" s="9" t="s">
        <v>182</v>
      </c>
      <c r="H77" s="11">
        <v>-1360</v>
      </c>
      <c r="I77" s="11">
        <v>-1360</v>
      </c>
      <c r="J77" s="11">
        <v>0</v>
      </c>
      <c r="K77">
        <v>1</v>
      </c>
    </row>
    <row r="78" spans="1:11" x14ac:dyDescent="0.25">
      <c r="A78" s="9" t="s">
        <v>52</v>
      </c>
      <c r="B78" s="9" t="s">
        <v>23</v>
      </c>
      <c r="C78" s="10">
        <v>45992</v>
      </c>
      <c r="D78" s="10">
        <v>45992</v>
      </c>
      <c r="E78" s="9" t="s">
        <v>183</v>
      </c>
      <c r="F78" s="9" t="s">
        <v>32</v>
      </c>
      <c r="G78" s="9" t="s">
        <v>184</v>
      </c>
      <c r="H78" s="11">
        <v>1220.03</v>
      </c>
      <c r="I78" s="11">
        <v>1220.03</v>
      </c>
      <c r="J78" s="11">
        <v>0</v>
      </c>
      <c r="K78">
        <v>1</v>
      </c>
    </row>
    <row r="79" spans="1:11" x14ac:dyDescent="0.25">
      <c r="A79" s="9" t="s">
        <v>52</v>
      </c>
      <c r="B79" s="9" t="s">
        <v>23</v>
      </c>
      <c r="C79" s="10">
        <v>45992</v>
      </c>
      <c r="D79" s="10">
        <v>45992</v>
      </c>
      <c r="E79" s="9" t="s">
        <v>185</v>
      </c>
      <c r="F79" s="9" t="s">
        <v>32</v>
      </c>
      <c r="G79" s="9" t="s">
        <v>186</v>
      </c>
      <c r="H79" s="11">
        <v>1199.9100000000001</v>
      </c>
      <c r="I79" s="11">
        <v>1199.9100000000001</v>
      </c>
      <c r="J79" s="11">
        <v>0</v>
      </c>
      <c r="K79">
        <v>1</v>
      </c>
    </row>
    <row r="80" spans="1:11" x14ac:dyDescent="0.25">
      <c r="A80" s="9" t="s">
        <v>52</v>
      </c>
      <c r="B80" s="9" t="s">
        <v>23</v>
      </c>
      <c r="C80" s="10">
        <v>45992</v>
      </c>
      <c r="D80" s="10">
        <v>45992</v>
      </c>
      <c r="E80" s="9" t="s">
        <v>187</v>
      </c>
      <c r="F80" s="9" t="s">
        <v>32</v>
      </c>
      <c r="G80" s="9" t="s">
        <v>188</v>
      </c>
      <c r="H80" s="11">
        <v>1129.1600000000001</v>
      </c>
      <c r="I80" s="11">
        <v>1129.1600000000001</v>
      </c>
      <c r="J80" s="11">
        <v>0</v>
      </c>
      <c r="K80">
        <v>1</v>
      </c>
    </row>
    <row r="81" spans="1:11" x14ac:dyDescent="0.25">
      <c r="A81" s="9" t="s">
        <v>52</v>
      </c>
      <c r="B81" s="9" t="s">
        <v>23</v>
      </c>
      <c r="C81" s="10">
        <v>45992</v>
      </c>
      <c r="D81" s="10">
        <v>45992</v>
      </c>
      <c r="E81" s="9" t="s">
        <v>189</v>
      </c>
      <c r="F81" s="9" t="s">
        <v>32</v>
      </c>
      <c r="G81" s="9" t="s">
        <v>190</v>
      </c>
      <c r="H81" s="11">
        <v>1115.26</v>
      </c>
      <c r="I81" s="11">
        <v>1115.26</v>
      </c>
      <c r="J81" s="11">
        <v>0</v>
      </c>
      <c r="K81">
        <v>1</v>
      </c>
    </row>
    <row r="82" spans="1:11" x14ac:dyDescent="0.25">
      <c r="A82" s="9" t="s">
        <v>52</v>
      </c>
      <c r="B82" s="9" t="s">
        <v>23</v>
      </c>
      <c r="C82" s="10">
        <v>45992</v>
      </c>
      <c r="D82" s="10">
        <v>45992</v>
      </c>
      <c r="E82" s="9" t="s">
        <v>191</v>
      </c>
      <c r="F82" s="9" t="s">
        <v>32</v>
      </c>
      <c r="G82" s="9" t="s">
        <v>192</v>
      </c>
      <c r="H82" s="11">
        <v>1084.6400000000001</v>
      </c>
      <c r="I82" s="11">
        <v>1084.6400000000001</v>
      </c>
      <c r="J82" s="11">
        <v>0</v>
      </c>
      <c r="K82">
        <v>1</v>
      </c>
    </row>
    <row r="83" spans="1:11" x14ac:dyDescent="0.25">
      <c r="A83" s="9" t="s">
        <v>52</v>
      </c>
      <c r="B83" s="9" t="s">
        <v>23</v>
      </c>
      <c r="C83" s="10">
        <v>45992</v>
      </c>
      <c r="D83" s="10">
        <v>45992</v>
      </c>
      <c r="E83" s="9" t="s">
        <v>193</v>
      </c>
      <c r="F83" s="9" t="s">
        <v>32</v>
      </c>
      <c r="G83" s="9" t="s">
        <v>194</v>
      </c>
      <c r="H83" s="11">
        <v>1045.19</v>
      </c>
      <c r="I83" s="11">
        <v>1045.19</v>
      </c>
      <c r="J83" s="11">
        <v>0</v>
      </c>
      <c r="K83">
        <v>1</v>
      </c>
    </row>
    <row r="84" spans="1:11" x14ac:dyDescent="0.25">
      <c r="A84" s="9" t="s">
        <v>52</v>
      </c>
      <c r="B84" s="9" t="s">
        <v>23</v>
      </c>
      <c r="C84" s="10">
        <v>45992</v>
      </c>
      <c r="D84" s="10">
        <v>45992</v>
      </c>
      <c r="E84" s="9" t="s">
        <v>195</v>
      </c>
      <c r="F84" s="9" t="s">
        <v>32</v>
      </c>
      <c r="G84" s="9" t="s">
        <v>196</v>
      </c>
      <c r="H84" s="11">
        <v>998.02</v>
      </c>
      <c r="I84" s="11">
        <v>998.02</v>
      </c>
      <c r="J84" s="11">
        <v>0</v>
      </c>
      <c r="K84">
        <v>1</v>
      </c>
    </row>
    <row r="85" spans="1:11" x14ac:dyDescent="0.25">
      <c r="A85" s="9" t="s">
        <v>52</v>
      </c>
      <c r="B85" s="9" t="s">
        <v>23</v>
      </c>
      <c r="C85" s="10">
        <v>45992</v>
      </c>
      <c r="D85" s="10">
        <v>45992</v>
      </c>
      <c r="E85" s="9" t="s">
        <v>197</v>
      </c>
      <c r="F85" s="9" t="s">
        <v>32</v>
      </c>
      <c r="G85" s="9" t="s">
        <v>198</v>
      </c>
      <c r="H85" s="11">
        <v>951.4</v>
      </c>
      <c r="I85" s="11">
        <v>951.4</v>
      </c>
      <c r="J85" s="11">
        <v>0</v>
      </c>
      <c r="K85">
        <v>1</v>
      </c>
    </row>
    <row r="86" spans="1:11" x14ac:dyDescent="0.25">
      <c r="A86" s="9" t="s">
        <v>52</v>
      </c>
      <c r="B86" s="9" t="s">
        <v>23</v>
      </c>
      <c r="C86" s="10">
        <v>45992</v>
      </c>
      <c r="D86" s="10">
        <v>45992</v>
      </c>
      <c r="E86" s="9" t="s">
        <v>199</v>
      </c>
      <c r="F86" s="9" t="s">
        <v>32</v>
      </c>
      <c r="G86" s="9" t="s">
        <v>200</v>
      </c>
      <c r="H86" s="11">
        <v>1259.6400000000001</v>
      </c>
      <c r="I86" s="11">
        <v>1259.6400000000001</v>
      </c>
      <c r="J86" s="11">
        <v>0</v>
      </c>
      <c r="K86">
        <v>1</v>
      </c>
    </row>
    <row r="87" spans="1:11" x14ac:dyDescent="0.25">
      <c r="A87" s="9" t="s">
        <v>52</v>
      </c>
      <c r="B87" s="9" t="s">
        <v>23</v>
      </c>
      <c r="C87" s="10">
        <v>45992</v>
      </c>
      <c r="D87" s="10">
        <v>45992</v>
      </c>
      <c r="E87" s="9" t="s">
        <v>201</v>
      </c>
      <c r="F87" s="9" t="s">
        <v>32</v>
      </c>
      <c r="G87" s="9" t="s">
        <v>202</v>
      </c>
      <c r="H87" s="11">
        <v>946.88</v>
      </c>
      <c r="I87" s="11">
        <v>946.88</v>
      </c>
      <c r="J87" s="11">
        <v>0</v>
      </c>
      <c r="K87">
        <v>1</v>
      </c>
    </row>
    <row r="88" spans="1:11" x14ac:dyDescent="0.25">
      <c r="A88" s="9" t="s">
        <v>52</v>
      </c>
      <c r="B88" s="9" t="s">
        <v>23</v>
      </c>
      <c r="C88" s="10">
        <v>45992</v>
      </c>
      <c r="D88" s="10">
        <v>45992</v>
      </c>
      <c r="E88" s="9" t="s">
        <v>203</v>
      </c>
      <c r="F88" s="9" t="s">
        <v>32</v>
      </c>
      <c r="G88" s="9" t="s">
        <v>204</v>
      </c>
      <c r="H88" s="11">
        <v>814.52</v>
      </c>
      <c r="I88" s="11">
        <v>814.52</v>
      </c>
      <c r="J88" s="11">
        <v>0</v>
      </c>
      <c r="K88">
        <v>1</v>
      </c>
    </row>
    <row r="89" spans="1:11" x14ac:dyDescent="0.25">
      <c r="A89" s="9" t="s">
        <v>52</v>
      </c>
      <c r="B89" s="9" t="s">
        <v>23</v>
      </c>
      <c r="C89" s="10">
        <v>45992</v>
      </c>
      <c r="D89" s="10">
        <v>45992</v>
      </c>
      <c r="E89" s="9" t="s">
        <v>205</v>
      </c>
      <c r="F89" s="9" t="s">
        <v>32</v>
      </c>
      <c r="G89" s="9" t="s">
        <v>206</v>
      </c>
      <c r="H89" s="11">
        <v>652.79999999999995</v>
      </c>
      <c r="I89" s="11">
        <v>652.79999999999995</v>
      </c>
      <c r="J89" s="11">
        <v>0</v>
      </c>
      <c r="K89">
        <v>1</v>
      </c>
    </row>
    <row r="90" spans="1:11" x14ac:dyDescent="0.25">
      <c r="A90" s="9" t="s">
        <v>52</v>
      </c>
      <c r="B90" s="9" t="s">
        <v>23</v>
      </c>
      <c r="C90" s="10">
        <v>45992</v>
      </c>
      <c r="D90" s="10">
        <v>45992</v>
      </c>
      <c r="E90" s="9" t="s">
        <v>207</v>
      </c>
      <c r="F90" s="9" t="s">
        <v>32</v>
      </c>
      <c r="G90" s="9" t="s">
        <v>208</v>
      </c>
      <c r="H90" s="11">
        <v>601.16</v>
      </c>
      <c r="I90" s="11">
        <v>601.16</v>
      </c>
      <c r="J90" s="11">
        <v>0</v>
      </c>
      <c r="K90">
        <v>1</v>
      </c>
    </row>
    <row r="91" spans="1:11" x14ac:dyDescent="0.25">
      <c r="A91" s="9" t="s">
        <v>52</v>
      </c>
      <c r="B91" s="9" t="s">
        <v>23</v>
      </c>
      <c r="C91" s="10">
        <v>45992</v>
      </c>
      <c r="D91" s="10">
        <v>45992</v>
      </c>
      <c r="E91" s="9" t="s">
        <v>209</v>
      </c>
      <c r="F91" s="9" t="s">
        <v>32</v>
      </c>
      <c r="G91" s="9" t="s">
        <v>204</v>
      </c>
      <c r="H91" s="11">
        <v>594.25</v>
      </c>
      <c r="I91" s="11">
        <v>594.25</v>
      </c>
      <c r="J91" s="11">
        <v>0</v>
      </c>
      <c r="K91">
        <v>1</v>
      </c>
    </row>
    <row r="92" spans="1:11" x14ac:dyDescent="0.25">
      <c r="A92" s="9" t="s">
        <v>52</v>
      </c>
      <c r="B92" s="9" t="s">
        <v>23</v>
      </c>
      <c r="C92" s="10">
        <v>45992</v>
      </c>
      <c r="D92" s="10">
        <v>45992</v>
      </c>
      <c r="E92" s="9" t="s">
        <v>210</v>
      </c>
      <c r="F92" s="9" t="s">
        <v>32</v>
      </c>
      <c r="G92" s="9" t="s">
        <v>211</v>
      </c>
      <c r="H92" s="11">
        <v>460.98</v>
      </c>
      <c r="I92" s="11">
        <v>460.98</v>
      </c>
      <c r="J92" s="11">
        <v>0</v>
      </c>
      <c r="K92">
        <v>1</v>
      </c>
    </row>
    <row r="93" spans="1:11" x14ac:dyDescent="0.25">
      <c r="A93" s="9" t="s">
        <v>52</v>
      </c>
      <c r="B93" s="9" t="s">
        <v>23</v>
      </c>
      <c r="C93" s="10">
        <v>45992</v>
      </c>
      <c r="D93" s="10">
        <v>45992</v>
      </c>
      <c r="E93" s="9" t="s">
        <v>212</v>
      </c>
      <c r="F93" s="9" t="s">
        <v>32</v>
      </c>
      <c r="G93" s="9" t="s">
        <v>213</v>
      </c>
      <c r="H93" s="11">
        <v>409.34</v>
      </c>
      <c r="I93" s="11">
        <v>409.34</v>
      </c>
      <c r="J93" s="11">
        <v>0</v>
      </c>
      <c r="K93">
        <v>1</v>
      </c>
    </row>
    <row r="94" spans="1:11" x14ac:dyDescent="0.25">
      <c r="A94" s="9" t="s">
        <v>52</v>
      </c>
      <c r="B94" s="9" t="s">
        <v>23</v>
      </c>
      <c r="C94" s="10">
        <v>45992</v>
      </c>
      <c r="D94" s="10">
        <v>45992</v>
      </c>
      <c r="E94" s="9" t="s">
        <v>214</v>
      </c>
      <c r="F94" s="9" t="s">
        <v>32</v>
      </c>
      <c r="G94" s="9" t="s">
        <v>78</v>
      </c>
      <c r="H94" s="11">
        <v>399.36</v>
      </c>
      <c r="I94" s="11">
        <v>399.36</v>
      </c>
      <c r="J94" s="11">
        <v>0</v>
      </c>
      <c r="K94">
        <v>1</v>
      </c>
    </row>
    <row r="95" spans="1:11" x14ac:dyDescent="0.25">
      <c r="A95" s="9" t="s">
        <v>52</v>
      </c>
      <c r="B95" s="9" t="s">
        <v>23</v>
      </c>
      <c r="C95" s="10">
        <v>45992</v>
      </c>
      <c r="D95" s="10">
        <v>45992</v>
      </c>
      <c r="E95" s="9" t="s">
        <v>215</v>
      </c>
      <c r="F95" s="9" t="s">
        <v>141</v>
      </c>
      <c r="G95" s="9" t="s">
        <v>216</v>
      </c>
      <c r="H95" s="11">
        <v>-1360</v>
      </c>
      <c r="I95" s="11">
        <v>-1360</v>
      </c>
      <c r="J95" s="11">
        <v>0</v>
      </c>
      <c r="K95">
        <v>1</v>
      </c>
    </row>
    <row r="96" spans="1:11" x14ac:dyDescent="0.25">
      <c r="A96" s="9" t="s">
        <v>52</v>
      </c>
      <c r="B96" s="9" t="s">
        <v>23</v>
      </c>
      <c r="C96" s="10">
        <v>45992</v>
      </c>
      <c r="D96" s="10">
        <v>45992</v>
      </c>
      <c r="E96" s="9" t="s">
        <v>217</v>
      </c>
      <c r="F96" s="9" t="s">
        <v>32</v>
      </c>
      <c r="G96" s="9" t="s">
        <v>218</v>
      </c>
      <c r="H96" s="11">
        <v>943</v>
      </c>
      <c r="I96" s="11">
        <v>943</v>
      </c>
      <c r="J96" s="11">
        <v>0</v>
      </c>
      <c r="K96">
        <v>1</v>
      </c>
    </row>
    <row r="97" spans="1:11" x14ac:dyDescent="0.25">
      <c r="A97" s="9" t="s">
        <v>52</v>
      </c>
      <c r="B97" s="9" t="s">
        <v>23</v>
      </c>
      <c r="C97" s="10">
        <v>45992</v>
      </c>
      <c r="D97" s="10">
        <v>45992</v>
      </c>
      <c r="E97" s="9" t="s">
        <v>219</v>
      </c>
      <c r="F97" s="9" t="s">
        <v>32</v>
      </c>
      <c r="G97" s="9" t="s">
        <v>220</v>
      </c>
      <c r="H97" s="11">
        <v>3792.45</v>
      </c>
      <c r="I97" s="11">
        <v>3792.45</v>
      </c>
      <c r="J97" s="11">
        <v>0</v>
      </c>
      <c r="K97">
        <v>1</v>
      </c>
    </row>
    <row r="98" spans="1:11" x14ac:dyDescent="0.25">
      <c r="A98" s="9" t="s">
        <v>52</v>
      </c>
      <c r="B98" s="9" t="s">
        <v>23</v>
      </c>
      <c r="C98" s="10">
        <v>45992</v>
      </c>
      <c r="D98" s="10">
        <v>45992</v>
      </c>
      <c r="E98" s="9" t="s">
        <v>221</v>
      </c>
      <c r="F98" s="9" t="s">
        <v>32</v>
      </c>
      <c r="G98" s="9" t="s">
        <v>222</v>
      </c>
      <c r="H98" s="11">
        <v>880.74</v>
      </c>
      <c r="I98" s="11">
        <v>880.74</v>
      </c>
      <c r="J98" s="11">
        <v>0</v>
      </c>
      <c r="K98">
        <v>1</v>
      </c>
    </row>
    <row r="99" spans="1:11" x14ac:dyDescent="0.25">
      <c r="A99" s="9" t="s">
        <v>52</v>
      </c>
      <c r="B99" s="9" t="s">
        <v>23</v>
      </c>
      <c r="C99" s="10">
        <v>45992</v>
      </c>
      <c r="D99" s="10">
        <v>45992</v>
      </c>
      <c r="E99" s="9" t="s">
        <v>223</v>
      </c>
      <c r="F99" s="9" t="s">
        <v>32</v>
      </c>
      <c r="G99" s="9" t="s">
        <v>224</v>
      </c>
      <c r="H99" s="11">
        <v>3854.08</v>
      </c>
      <c r="I99" s="11">
        <v>3854.08</v>
      </c>
      <c r="J99" s="11">
        <v>0</v>
      </c>
      <c r="K99">
        <v>1</v>
      </c>
    </row>
    <row r="100" spans="1:11" x14ac:dyDescent="0.25">
      <c r="A100" s="9" t="s">
        <v>52</v>
      </c>
      <c r="B100" s="9" t="s">
        <v>23</v>
      </c>
      <c r="C100" s="10">
        <v>45992</v>
      </c>
      <c r="D100" s="10">
        <v>45992</v>
      </c>
      <c r="E100" s="9" t="s">
        <v>225</v>
      </c>
      <c r="F100" s="9" t="s">
        <v>32</v>
      </c>
      <c r="G100" s="9" t="s">
        <v>226</v>
      </c>
      <c r="H100" s="11">
        <v>6863.17</v>
      </c>
      <c r="I100" s="11">
        <v>6863.17</v>
      </c>
      <c r="J100" s="11">
        <v>0</v>
      </c>
      <c r="K100">
        <v>1</v>
      </c>
    </row>
    <row r="101" spans="1:11" x14ac:dyDescent="0.25">
      <c r="A101" s="9" t="s">
        <v>52</v>
      </c>
      <c r="B101" s="9" t="s">
        <v>23</v>
      </c>
      <c r="C101" s="10">
        <v>45992</v>
      </c>
      <c r="D101" s="10">
        <v>45992</v>
      </c>
      <c r="E101" s="9" t="s">
        <v>227</v>
      </c>
      <c r="F101" s="9" t="s">
        <v>32</v>
      </c>
      <c r="G101" s="9" t="s">
        <v>228</v>
      </c>
      <c r="H101" s="11">
        <v>8234.57</v>
      </c>
      <c r="I101" s="11">
        <v>8234.57</v>
      </c>
      <c r="J101" s="11">
        <v>0</v>
      </c>
      <c r="K101">
        <v>1</v>
      </c>
    </row>
    <row r="102" spans="1:11" x14ac:dyDescent="0.25">
      <c r="A102" s="9" t="s">
        <v>52</v>
      </c>
      <c r="B102" s="9" t="s">
        <v>23</v>
      </c>
      <c r="C102" s="10">
        <v>45992</v>
      </c>
      <c r="D102" s="10">
        <v>45992</v>
      </c>
      <c r="E102" s="9" t="s">
        <v>229</v>
      </c>
      <c r="F102" s="9" t="s">
        <v>32</v>
      </c>
      <c r="G102" s="9" t="s">
        <v>230</v>
      </c>
      <c r="H102" s="11">
        <v>8639.2999999999993</v>
      </c>
      <c r="I102" s="11">
        <v>8639.2999999999993</v>
      </c>
      <c r="J102" s="11">
        <v>0</v>
      </c>
      <c r="K102">
        <v>1</v>
      </c>
    </row>
    <row r="103" spans="1:11" x14ac:dyDescent="0.25">
      <c r="A103" s="9" t="s">
        <v>52</v>
      </c>
      <c r="B103" s="9" t="s">
        <v>23</v>
      </c>
      <c r="C103" s="10">
        <v>45992</v>
      </c>
      <c r="D103" s="10">
        <v>45992</v>
      </c>
      <c r="E103" s="9" t="s">
        <v>231</v>
      </c>
      <c r="F103" s="9" t="s">
        <v>32</v>
      </c>
      <c r="G103" s="9" t="s">
        <v>226</v>
      </c>
      <c r="H103" s="11">
        <v>6331.52</v>
      </c>
      <c r="I103" s="11">
        <v>6331.52</v>
      </c>
      <c r="J103" s="11">
        <v>0</v>
      </c>
      <c r="K103">
        <v>1</v>
      </c>
    </row>
    <row r="104" spans="1:11" x14ac:dyDescent="0.25">
      <c r="A104" s="9" t="s">
        <v>52</v>
      </c>
      <c r="B104" s="9" t="s">
        <v>23</v>
      </c>
      <c r="C104" s="10">
        <v>45992</v>
      </c>
      <c r="D104" s="10">
        <v>45992</v>
      </c>
      <c r="E104" s="9" t="s">
        <v>232</v>
      </c>
      <c r="F104" s="9" t="s">
        <v>32</v>
      </c>
      <c r="G104" s="9" t="s">
        <v>233</v>
      </c>
      <c r="H104" s="11">
        <v>8208.17</v>
      </c>
      <c r="I104" s="11">
        <v>8208.17</v>
      </c>
      <c r="J104" s="11">
        <v>0</v>
      </c>
      <c r="K104">
        <v>1</v>
      </c>
    </row>
    <row r="105" spans="1:11" x14ac:dyDescent="0.25">
      <c r="A105" s="9" t="s">
        <v>52</v>
      </c>
      <c r="B105" s="9" t="s">
        <v>23</v>
      </c>
      <c r="C105" s="10">
        <v>45992</v>
      </c>
      <c r="D105" s="10">
        <v>45992</v>
      </c>
      <c r="E105" s="9" t="s">
        <v>234</v>
      </c>
      <c r="F105" s="9" t="s">
        <v>32</v>
      </c>
      <c r="G105" s="9" t="s">
        <v>235</v>
      </c>
      <c r="H105" s="11">
        <v>7990.29</v>
      </c>
      <c r="I105" s="11">
        <v>7990.29</v>
      </c>
      <c r="J105" s="11">
        <v>0</v>
      </c>
      <c r="K105">
        <v>1</v>
      </c>
    </row>
    <row r="106" spans="1:11" x14ac:dyDescent="0.25">
      <c r="A106" s="9" t="s">
        <v>52</v>
      </c>
      <c r="B106" s="9" t="s">
        <v>23</v>
      </c>
      <c r="C106" s="10">
        <v>45992</v>
      </c>
      <c r="D106" s="10">
        <v>45992</v>
      </c>
      <c r="E106" s="9" t="s">
        <v>236</v>
      </c>
      <c r="F106" s="9" t="s">
        <v>32</v>
      </c>
      <c r="G106" s="9" t="s">
        <v>237</v>
      </c>
      <c r="H106" s="11">
        <v>7752.99</v>
      </c>
      <c r="I106" s="11">
        <v>7752.99</v>
      </c>
      <c r="J106" s="11">
        <v>0</v>
      </c>
      <c r="K106">
        <v>1</v>
      </c>
    </row>
    <row r="107" spans="1:11" x14ac:dyDescent="0.25">
      <c r="A107" s="9" t="s">
        <v>52</v>
      </c>
      <c r="B107" s="9" t="s">
        <v>23</v>
      </c>
      <c r="C107" s="10">
        <v>45992</v>
      </c>
      <c r="D107" s="10">
        <v>45992</v>
      </c>
      <c r="E107" s="9" t="s">
        <v>238</v>
      </c>
      <c r="F107" s="9" t="s">
        <v>32</v>
      </c>
      <c r="G107" s="9" t="s">
        <v>239</v>
      </c>
      <c r="H107" s="11">
        <v>2278.91</v>
      </c>
      <c r="I107" s="11">
        <v>2278.91</v>
      </c>
      <c r="J107" s="11">
        <v>0</v>
      </c>
      <c r="K107">
        <v>1</v>
      </c>
    </row>
    <row r="108" spans="1:11" x14ac:dyDescent="0.25">
      <c r="A108" s="9" t="s">
        <v>52</v>
      </c>
      <c r="B108" s="9" t="s">
        <v>23</v>
      </c>
      <c r="C108" s="10">
        <v>45992</v>
      </c>
      <c r="D108" s="10">
        <v>45992</v>
      </c>
      <c r="E108" s="9" t="s">
        <v>240</v>
      </c>
      <c r="F108" s="9" t="s">
        <v>32</v>
      </c>
      <c r="G108" s="9" t="s">
        <v>116</v>
      </c>
      <c r="H108" s="11">
        <v>7480.18</v>
      </c>
      <c r="I108" s="11">
        <v>7480.18</v>
      </c>
      <c r="J108" s="11">
        <v>0</v>
      </c>
      <c r="K108">
        <v>1</v>
      </c>
    </row>
    <row r="109" spans="1:11" x14ac:dyDescent="0.25">
      <c r="A109" s="9" t="s">
        <v>52</v>
      </c>
      <c r="B109" s="9" t="s">
        <v>23</v>
      </c>
      <c r="C109" s="10">
        <v>45992</v>
      </c>
      <c r="D109" s="10">
        <v>45992</v>
      </c>
      <c r="E109" s="9" t="s">
        <v>241</v>
      </c>
      <c r="F109" s="9" t="s">
        <v>32</v>
      </c>
      <c r="G109" s="9" t="s">
        <v>33</v>
      </c>
      <c r="H109" s="11">
        <v>7427.49</v>
      </c>
      <c r="I109" s="11">
        <v>7427.49</v>
      </c>
      <c r="J109" s="11">
        <v>0</v>
      </c>
      <c r="K109">
        <v>1</v>
      </c>
    </row>
    <row r="110" spans="1:11" x14ac:dyDescent="0.25">
      <c r="A110" s="9" t="s">
        <v>52</v>
      </c>
      <c r="B110" s="9" t="s">
        <v>23</v>
      </c>
      <c r="C110" s="10">
        <v>45992</v>
      </c>
      <c r="D110" s="10">
        <v>45992</v>
      </c>
      <c r="E110" s="9" t="s">
        <v>242</v>
      </c>
      <c r="F110" s="9" t="s">
        <v>32</v>
      </c>
      <c r="G110" s="9" t="s">
        <v>243</v>
      </c>
      <c r="H110" s="11">
        <v>7241.21</v>
      </c>
      <c r="I110" s="11">
        <v>7241.21</v>
      </c>
      <c r="J110" s="11">
        <v>0</v>
      </c>
      <c r="K110">
        <v>1</v>
      </c>
    </row>
    <row r="111" spans="1:11" x14ac:dyDescent="0.25">
      <c r="A111" s="9" t="s">
        <v>52</v>
      </c>
      <c r="B111" s="9" t="s">
        <v>23</v>
      </c>
      <c r="C111" s="10">
        <v>45992</v>
      </c>
      <c r="D111" s="10">
        <v>45992</v>
      </c>
      <c r="E111" s="9" t="s">
        <v>244</v>
      </c>
      <c r="F111" s="9" t="s">
        <v>32</v>
      </c>
      <c r="G111" s="9" t="s">
        <v>245</v>
      </c>
      <c r="H111" s="11">
        <v>6912.02</v>
      </c>
      <c r="I111" s="11">
        <v>6912.02</v>
      </c>
      <c r="J111" s="11">
        <v>0</v>
      </c>
      <c r="K111">
        <v>1</v>
      </c>
    </row>
    <row r="112" spans="1:11" x14ac:dyDescent="0.25">
      <c r="A112" s="9" t="s">
        <v>52</v>
      </c>
      <c r="B112" s="9" t="s">
        <v>23</v>
      </c>
      <c r="C112" s="10">
        <v>45992</v>
      </c>
      <c r="D112" s="10">
        <v>45992</v>
      </c>
      <c r="E112" s="9" t="s">
        <v>246</v>
      </c>
      <c r="F112" s="9" t="s">
        <v>32</v>
      </c>
      <c r="G112" s="9" t="s">
        <v>247</v>
      </c>
      <c r="H112" s="11">
        <v>6842.18</v>
      </c>
      <c r="I112" s="11">
        <v>6842.18</v>
      </c>
      <c r="J112" s="11">
        <v>0</v>
      </c>
      <c r="K112">
        <v>1</v>
      </c>
    </row>
    <row r="113" spans="1:11" x14ac:dyDescent="0.25">
      <c r="A113" s="9" t="s">
        <v>52</v>
      </c>
      <c r="B113" s="9" t="s">
        <v>23</v>
      </c>
      <c r="C113" s="10">
        <v>45992</v>
      </c>
      <c r="D113" s="10">
        <v>45992</v>
      </c>
      <c r="E113" s="9" t="s">
        <v>248</v>
      </c>
      <c r="F113" s="9" t="s">
        <v>32</v>
      </c>
      <c r="G113" s="9" t="s">
        <v>249</v>
      </c>
      <c r="H113" s="11">
        <v>6744.76</v>
      </c>
      <c r="I113" s="11">
        <v>6744.76</v>
      </c>
      <c r="J113" s="11">
        <v>0</v>
      </c>
      <c r="K113">
        <v>1</v>
      </c>
    </row>
    <row r="114" spans="1:11" x14ac:dyDescent="0.25">
      <c r="A114" s="9" t="s">
        <v>52</v>
      </c>
      <c r="B114" s="9" t="s">
        <v>23</v>
      </c>
      <c r="C114" s="10">
        <v>45992</v>
      </c>
      <c r="D114" s="10">
        <v>45992</v>
      </c>
      <c r="E114" s="9" t="s">
        <v>250</v>
      </c>
      <c r="F114" s="9" t="s">
        <v>32</v>
      </c>
      <c r="G114" s="9" t="s">
        <v>66</v>
      </c>
      <c r="H114" s="11">
        <v>6324.35</v>
      </c>
      <c r="I114" s="11">
        <v>6324.35</v>
      </c>
      <c r="J114" s="11">
        <v>0</v>
      </c>
      <c r="K114">
        <v>1</v>
      </c>
    </row>
    <row r="115" spans="1:11" x14ac:dyDescent="0.25">
      <c r="A115" s="9" t="s">
        <v>52</v>
      </c>
      <c r="B115" s="9" t="s">
        <v>23</v>
      </c>
      <c r="C115" s="10">
        <v>45992</v>
      </c>
      <c r="D115" s="10">
        <v>45992</v>
      </c>
      <c r="E115" s="9" t="s">
        <v>251</v>
      </c>
      <c r="F115" s="9" t="s">
        <v>32</v>
      </c>
      <c r="G115" s="9" t="s">
        <v>252</v>
      </c>
      <c r="H115" s="11">
        <v>6124.62</v>
      </c>
      <c r="I115" s="11">
        <v>6124.62</v>
      </c>
      <c r="J115" s="11">
        <v>0</v>
      </c>
      <c r="K115">
        <v>1</v>
      </c>
    </row>
    <row r="116" spans="1:11" x14ac:dyDescent="0.25">
      <c r="A116" s="9" t="s">
        <v>52</v>
      </c>
      <c r="B116" s="9" t="s">
        <v>23</v>
      </c>
      <c r="C116" s="10">
        <v>45992</v>
      </c>
      <c r="D116" s="10">
        <v>45992</v>
      </c>
      <c r="E116" s="9" t="s">
        <v>253</v>
      </c>
      <c r="F116" s="9" t="s">
        <v>32</v>
      </c>
      <c r="G116" s="9" t="s">
        <v>254</v>
      </c>
      <c r="H116" s="11">
        <v>5837.79</v>
      </c>
      <c r="I116" s="11">
        <v>5837.79</v>
      </c>
      <c r="J116" s="11">
        <v>0</v>
      </c>
      <c r="K116">
        <v>1</v>
      </c>
    </row>
    <row r="117" spans="1:11" x14ac:dyDescent="0.25">
      <c r="A117" s="9" t="s">
        <v>52</v>
      </c>
      <c r="B117" s="9" t="s">
        <v>23</v>
      </c>
      <c r="C117" s="10">
        <v>45992</v>
      </c>
      <c r="D117" s="10">
        <v>45992</v>
      </c>
      <c r="E117" s="9" t="s">
        <v>255</v>
      </c>
      <c r="F117" s="9" t="s">
        <v>32</v>
      </c>
      <c r="G117" s="9" t="s">
        <v>256</v>
      </c>
      <c r="H117" s="11">
        <v>8988.33</v>
      </c>
      <c r="I117" s="11">
        <v>8988.33</v>
      </c>
      <c r="J117" s="11">
        <v>0</v>
      </c>
      <c r="K117">
        <v>1</v>
      </c>
    </row>
    <row r="118" spans="1:11" x14ac:dyDescent="0.25">
      <c r="A118" s="9" t="s">
        <v>52</v>
      </c>
      <c r="B118" s="9" t="s">
        <v>23</v>
      </c>
      <c r="C118" s="10">
        <v>45992</v>
      </c>
      <c r="D118" s="10">
        <v>45992</v>
      </c>
      <c r="E118" s="9" t="s">
        <v>257</v>
      </c>
      <c r="F118" s="9" t="s">
        <v>32</v>
      </c>
      <c r="G118" s="9" t="s">
        <v>133</v>
      </c>
      <c r="H118" s="11">
        <v>7242.99</v>
      </c>
      <c r="I118" s="11">
        <v>7242.99</v>
      </c>
      <c r="J118" s="11">
        <v>0</v>
      </c>
      <c r="K118">
        <v>1</v>
      </c>
    </row>
    <row r="119" spans="1:11" x14ac:dyDescent="0.25">
      <c r="A119" s="9" t="s">
        <v>52</v>
      </c>
      <c r="B119" s="9" t="s">
        <v>23</v>
      </c>
      <c r="C119" s="10">
        <v>45992</v>
      </c>
      <c r="D119" s="10">
        <v>45992</v>
      </c>
      <c r="E119" s="9" t="s">
        <v>258</v>
      </c>
      <c r="F119" s="9" t="s">
        <v>32</v>
      </c>
      <c r="G119" s="9" t="s">
        <v>259</v>
      </c>
      <c r="H119" s="11">
        <v>9024.32</v>
      </c>
      <c r="I119" s="11">
        <v>9024.32</v>
      </c>
      <c r="J119" s="11">
        <v>0</v>
      </c>
      <c r="K119">
        <v>1</v>
      </c>
    </row>
    <row r="120" spans="1:11" x14ac:dyDescent="0.25">
      <c r="A120" s="9" t="s">
        <v>52</v>
      </c>
      <c r="B120" s="9" t="s">
        <v>23</v>
      </c>
      <c r="C120" s="10">
        <v>45992</v>
      </c>
      <c r="D120" s="10">
        <v>45992</v>
      </c>
      <c r="E120" s="9" t="s">
        <v>260</v>
      </c>
      <c r="F120" s="9" t="s">
        <v>32</v>
      </c>
      <c r="G120" s="9" t="s">
        <v>230</v>
      </c>
      <c r="H120" s="11">
        <v>5522.38</v>
      </c>
      <c r="I120" s="11">
        <v>5522.38</v>
      </c>
      <c r="J120" s="11">
        <v>0</v>
      </c>
      <c r="K120">
        <v>1</v>
      </c>
    </row>
    <row r="121" spans="1:11" x14ac:dyDescent="0.25">
      <c r="A121" s="9" t="s">
        <v>52</v>
      </c>
      <c r="B121" s="9" t="s">
        <v>23</v>
      </c>
      <c r="C121" s="10">
        <v>45992</v>
      </c>
      <c r="D121" s="10">
        <v>45992</v>
      </c>
      <c r="E121" s="9" t="s">
        <v>261</v>
      </c>
      <c r="F121" s="9" t="s">
        <v>32</v>
      </c>
      <c r="G121" s="9" t="s">
        <v>233</v>
      </c>
      <c r="H121" s="11">
        <v>18259.47</v>
      </c>
      <c r="I121" s="11">
        <v>18259.47</v>
      </c>
      <c r="J121" s="11">
        <v>0</v>
      </c>
      <c r="K121">
        <v>1</v>
      </c>
    </row>
    <row r="122" spans="1:11" x14ac:dyDescent="0.25">
      <c r="A122" s="9" t="s">
        <v>52</v>
      </c>
      <c r="B122" s="9" t="s">
        <v>23</v>
      </c>
      <c r="C122" s="10">
        <v>45992</v>
      </c>
      <c r="D122" s="10">
        <v>45992</v>
      </c>
      <c r="E122" s="9" t="s">
        <v>262</v>
      </c>
      <c r="F122" s="9" t="s">
        <v>32</v>
      </c>
      <c r="G122" s="9" t="s">
        <v>122</v>
      </c>
      <c r="H122" s="11">
        <v>3188.41</v>
      </c>
      <c r="I122" s="11">
        <v>3188.41</v>
      </c>
      <c r="J122" s="11">
        <v>0</v>
      </c>
      <c r="K122">
        <v>1</v>
      </c>
    </row>
    <row r="123" spans="1:11" x14ac:dyDescent="0.25">
      <c r="A123" s="9" t="s">
        <v>52</v>
      </c>
      <c r="B123" s="9" t="s">
        <v>23</v>
      </c>
      <c r="C123" s="10">
        <v>45992</v>
      </c>
      <c r="D123" s="10">
        <v>45992</v>
      </c>
      <c r="E123" s="9" t="s">
        <v>263</v>
      </c>
      <c r="F123" s="9" t="s">
        <v>32</v>
      </c>
      <c r="G123" s="9" t="s">
        <v>264</v>
      </c>
      <c r="H123" s="11">
        <v>16573.32</v>
      </c>
      <c r="I123" s="11">
        <v>16573.32</v>
      </c>
      <c r="J123" s="11">
        <v>0</v>
      </c>
      <c r="K123">
        <v>1</v>
      </c>
    </row>
    <row r="124" spans="1:11" x14ac:dyDescent="0.25">
      <c r="A124" s="9" t="s">
        <v>52</v>
      </c>
      <c r="B124" s="9" t="s">
        <v>23</v>
      </c>
      <c r="C124" s="10">
        <v>45992</v>
      </c>
      <c r="D124" s="10">
        <v>45992</v>
      </c>
      <c r="E124" s="9" t="s">
        <v>265</v>
      </c>
      <c r="F124" s="9" t="s">
        <v>32</v>
      </c>
      <c r="G124" s="9" t="s">
        <v>266</v>
      </c>
      <c r="H124" s="11">
        <v>15687</v>
      </c>
      <c r="I124" s="11">
        <v>15687</v>
      </c>
      <c r="J124" s="11">
        <v>0</v>
      </c>
      <c r="K124">
        <v>1</v>
      </c>
    </row>
    <row r="125" spans="1:11" x14ac:dyDescent="0.25">
      <c r="A125" s="9" t="s">
        <v>52</v>
      </c>
      <c r="B125" s="9" t="s">
        <v>23</v>
      </c>
      <c r="C125" s="10">
        <v>45992</v>
      </c>
      <c r="D125" s="10">
        <v>45992</v>
      </c>
      <c r="E125" s="9" t="s">
        <v>267</v>
      </c>
      <c r="F125" s="9" t="s">
        <v>32</v>
      </c>
      <c r="G125" s="9" t="s">
        <v>268</v>
      </c>
      <c r="H125" s="11">
        <v>14976.54</v>
      </c>
      <c r="I125" s="11">
        <v>14976.54</v>
      </c>
      <c r="J125" s="11">
        <v>0</v>
      </c>
      <c r="K125">
        <v>1</v>
      </c>
    </row>
    <row r="126" spans="1:11" x14ac:dyDescent="0.25">
      <c r="A126" s="9" t="s">
        <v>52</v>
      </c>
      <c r="B126" s="9" t="s">
        <v>23</v>
      </c>
      <c r="C126" s="10">
        <v>45992</v>
      </c>
      <c r="D126" s="10">
        <v>45992</v>
      </c>
      <c r="E126" s="9" t="s">
        <v>269</v>
      </c>
      <c r="F126" s="9" t="s">
        <v>32</v>
      </c>
      <c r="G126" s="9" t="s">
        <v>270</v>
      </c>
      <c r="H126" s="11">
        <v>5422.29</v>
      </c>
      <c r="I126" s="11">
        <v>5422.29</v>
      </c>
      <c r="J126" s="11">
        <v>0</v>
      </c>
      <c r="K126">
        <v>1</v>
      </c>
    </row>
    <row r="127" spans="1:11" x14ac:dyDescent="0.25">
      <c r="A127" s="9" t="s">
        <v>52</v>
      </c>
      <c r="B127" s="9" t="s">
        <v>23</v>
      </c>
      <c r="C127" s="10">
        <v>45992</v>
      </c>
      <c r="D127" s="10">
        <v>45992</v>
      </c>
      <c r="E127" s="9" t="s">
        <v>271</v>
      </c>
      <c r="F127" s="9" t="s">
        <v>32</v>
      </c>
      <c r="G127" s="9" t="s">
        <v>243</v>
      </c>
      <c r="H127" s="11">
        <v>13749.5</v>
      </c>
      <c r="I127" s="11">
        <v>13749.5</v>
      </c>
      <c r="J127" s="11">
        <v>0</v>
      </c>
      <c r="K127">
        <v>1</v>
      </c>
    </row>
    <row r="128" spans="1:11" x14ac:dyDescent="0.25">
      <c r="A128" s="9" t="s">
        <v>52</v>
      </c>
      <c r="B128" s="9" t="s">
        <v>23</v>
      </c>
      <c r="C128" s="10">
        <v>45992</v>
      </c>
      <c r="D128" s="10">
        <v>45992</v>
      </c>
      <c r="E128" s="9" t="s">
        <v>272</v>
      </c>
      <c r="F128" s="9" t="s">
        <v>32</v>
      </c>
      <c r="G128" s="9" t="s">
        <v>273</v>
      </c>
      <c r="H128" s="11">
        <v>12235.75</v>
      </c>
      <c r="I128" s="11">
        <v>12235.75</v>
      </c>
      <c r="J128" s="11">
        <v>0</v>
      </c>
      <c r="K128">
        <v>1</v>
      </c>
    </row>
    <row r="129" spans="1:11" x14ac:dyDescent="0.25">
      <c r="A129" s="9" t="s">
        <v>52</v>
      </c>
      <c r="B129" s="9" t="s">
        <v>23</v>
      </c>
      <c r="C129" s="10">
        <v>45992</v>
      </c>
      <c r="D129" s="10">
        <v>45992</v>
      </c>
      <c r="E129" s="9" t="s">
        <v>274</v>
      </c>
      <c r="F129" s="9" t="s">
        <v>32</v>
      </c>
      <c r="G129" s="9" t="s">
        <v>275</v>
      </c>
      <c r="H129" s="11">
        <v>5334.15</v>
      </c>
      <c r="I129" s="11">
        <v>5334.15</v>
      </c>
      <c r="J129" s="11">
        <v>0</v>
      </c>
      <c r="K129">
        <v>1</v>
      </c>
    </row>
    <row r="130" spans="1:11" x14ac:dyDescent="0.25">
      <c r="A130" s="9" t="s">
        <v>52</v>
      </c>
      <c r="B130" s="9" t="s">
        <v>23</v>
      </c>
      <c r="C130" s="10">
        <v>45992</v>
      </c>
      <c r="D130" s="10">
        <v>45992</v>
      </c>
      <c r="E130" s="9" t="s">
        <v>276</v>
      </c>
      <c r="F130" s="9" t="s">
        <v>32</v>
      </c>
      <c r="G130" s="9" t="s">
        <v>277</v>
      </c>
      <c r="H130" s="11">
        <v>12187.98</v>
      </c>
      <c r="I130" s="11">
        <v>12187.98</v>
      </c>
      <c r="J130" s="11">
        <v>0</v>
      </c>
      <c r="K130">
        <v>1</v>
      </c>
    </row>
    <row r="131" spans="1:11" x14ac:dyDescent="0.25">
      <c r="A131" s="9" t="s">
        <v>52</v>
      </c>
      <c r="B131" s="9" t="s">
        <v>23</v>
      </c>
      <c r="C131" s="10">
        <v>45992</v>
      </c>
      <c r="D131" s="10">
        <v>45992</v>
      </c>
      <c r="E131" s="9" t="s">
        <v>278</v>
      </c>
      <c r="F131" s="9" t="s">
        <v>32</v>
      </c>
      <c r="G131" s="9" t="s">
        <v>279</v>
      </c>
      <c r="H131" s="11">
        <v>11271.58</v>
      </c>
      <c r="I131" s="11">
        <v>11271.58</v>
      </c>
      <c r="J131" s="11">
        <v>0</v>
      </c>
      <c r="K131">
        <v>1</v>
      </c>
    </row>
    <row r="132" spans="1:11" x14ac:dyDescent="0.25">
      <c r="A132" s="9" t="s">
        <v>52</v>
      </c>
      <c r="B132" s="9" t="s">
        <v>23</v>
      </c>
      <c r="C132" s="10">
        <v>45992</v>
      </c>
      <c r="D132" s="10">
        <v>45992</v>
      </c>
      <c r="E132" s="9" t="s">
        <v>280</v>
      </c>
      <c r="F132" s="9" t="s">
        <v>32</v>
      </c>
      <c r="G132" s="9" t="s">
        <v>281</v>
      </c>
      <c r="H132" s="11">
        <v>8589.75</v>
      </c>
      <c r="I132" s="11">
        <v>8589.75</v>
      </c>
      <c r="J132" s="11">
        <v>0</v>
      </c>
      <c r="K132">
        <v>1</v>
      </c>
    </row>
    <row r="133" spans="1:11" x14ac:dyDescent="0.25">
      <c r="A133" s="9" t="s">
        <v>52</v>
      </c>
      <c r="B133" s="9" t="s">
        <v>23</v>
      </c>
      <c r="C133" s="10">
        <v>45992</v>
      </c>
      <c r="D133" s="10">
        <v>45992</v>
      </c>
      <c r="E133" s="9" t="s">
        <v>282</v>
      </c>
      <c r="F133" s="9" t="s">
        <v>32</v>
      </c>
      <c r="G133" s="9" t="s">
        <v>279</v>
      </c>
      <c r="H133" s="11">
        <v>10555.87</v>
      </c>
      <c r="I133" s="11">
        <v>10555.87</v>
      </c>
      <c r="J133" s="11">
        <v>0</v>
      </c>
      <c r="K133">
        <v>1</v>
      </c>
    </row>
    <row r="134" spans="1:11" x14ac:dyDescent="0.25">
      <c r="A134" s="9" t="s">
        <v>52</v>
      </c>
      <c r="B134" s="9" t="s">
        <v>23</v>
      </c>
      <c r="C134" s="10">
        <v>45992</v>
      </c>
      <c r="D134" s="10">
        <v>45992</v>
      </c>
      <c r="E134" s="9" t="s">
        <v>283</v>
      </c>
      <c r="F134" s="9" t="s">
        <v>32</v>
      </c>
      <c r="G134" s="9" t="s">
        <v>66</v>
      </c>
      <c r="H134" s="11">
        <v>3554.69</v>
      </c>
      <c r="I134" s="11">
        <v>3554.69</v>
      </c>
      <c r="J134" s="11">
        <v>0</v>
      </c>
      <c r="K134">
        <v>1</v>
      </c>
    </row>
    <row r="135" spans="1:11" x14ac:dyDescent="0.25">
      <c r="A135" s="9" t="s">
        <v>52</v>
      </c>
      <c r="B135" s="9" t="s">
        <v>23</v>
      </c>
      <c r="C135" s="10">
        <v>45992</v>
      </c>
      <c r="D135" s="10">
        <v>45992</v>
      </c>
      <c r="E135" s="9" t="s">
        <v>284</v>
      </c>
      <c r="F135" s="9" t="s">
        <v>32</v>
      </c>
      <c r="G135" s="9" t="s">
        <v>224</v>
      </c>
      <c r="H135" s="11">
        <v>9947.07</v>
      </c>
      <c r="I135" s="11">
        <v>9947.07</v>
      </c>
      <c r="J135" s="11">
        <v>0</v>
      </c>
      <c r="K135">
        <v>1</v>
      </c>
    </row>
    <row r="136" spans="1:11" x14ac:dyDescent="0.25">
      <c r="A136" s="9" t="s">
        <v>52</v>
      </c>
      <c r="B136" s="9" t="s">
        <v>23</v>
      </c>
      <c r="C136" s="10">
        <v>45992</v>
      </c>
      <c r="D136" s="10">
        <v>45992</v>
      </c>
      <c r="E136" s="9" t="s">
        <v>285</v>
      </c>
      <c r="F136" s="9" t="s">
        <v>32</v>
      </c>
      <c r="G136" s="9" t="s">
        <v>252</v>
      </c>
      <c r="H136" s="11">
        <v>8830.16</v>
      </c>
      <c r="I136" s="11">
        <v>8830.16</v>
      </c>
      <c r="J136" s="11">
        <v>0</v>
      </c>
      <c r="K136">
        <v>1</v>
      </c>
    </row>
    <row r="137" spans="1:11" x14ac:dyDescent="0.25">
      <c r="A137" s="9" t="s">
        <v>52</v>
      </c>
      <c r="B137" s="9" t="s">
        <v>23</v>
      </c>
      <c r="C137" s="10">
        <v>45992</v>
      </c>
      <c r="D137" s="10">
        <v>45992</v>
      </c>
      <c r="E137" s="9" t="s">
        <v>286</v>
      </c>
      <c r="F137" s="9" t="s">
        <v>32</v>
      </c>
      <c r="G137" s="9" t="s">
        <v>230</v>
      </c>
      <c r="H137" s="11">
        <v>9677.59</v>
      </c>
      <c r="I137" s="11">
        <v>9677.59</v>
      </c>
      <c r="J137" s="11">
        <v>0</v>
      </c>
      <c r="K137">
        <v>1</v>
      </c>
    </row>
    <row r="138" spans="1:11" x14ac:dyDescent="0.25">
      <c r="A138" s="9" t="s">
        <v>52</v>
      </c>
      <c r="B138" s="9" t="s">
        <v>23</v>
      </c>
      <c r="C138" s="10">
        <v>45992</v>
      </c>
      <c r="D138" s="10">
        <v>45992</v>
      </c>
      <c r="E138" s="9" t="s">
        <v>287</v>
      </c>
      <c r="F138" s="9" t="s">
        <v>32</v>
      </c>
      <c r="G138" s="9" t="s">
        <v>228</v>
      </c>
      <c r="H138" s="11">
        <v>9286.16</v>
      </c>
      <c r="I138" s="11">
        <v>9286.16</v>
      </c>
      <c r="J138" s="11">
        <v>0</v>
      </c>
      <c r="K138">
        <v>1</v>
      </c>
    </row>
    <row r="139" spans="1:11" x14ac:dyDescent="0.25">
      <c r="A139" s="9" t="s">
        <v>52</v>
      </c>
      <c r="B139" s="9" t="s">
        <v>23</v>
      </c>
      <c r="C139" s="10">
        <v>45992</v>
      </c>
      <c r="D139" s="10">
        <v>45992</v>
      </c>
      <c r="E139" s="9" t="s">
        <v>288</v>
      </c>
      <c r="F139" s="9" t="s">
        <v>32</v>
      </c>
      <c r="G139" s="9" t="s">
        <v>270</v>
      </c>
      <c r="H139" s="11">
        <v>11885.74</v>
      </c>
      <c r="I139" s="11">
        <v>11885.74</v>
      </c>
      <c r="J139" s="11">
        <v>0</v>
      </c>
      <c r="K139">
        <v>1</v>
      </c>
    </row>
    <row r="140" spans="1:11" x14ac:dyDescent="0.25">
      <c r="A140" s="9" t="s">
        <v>52</v>
      </c>
      <c r="B140" s="9" t="s">
        <v>23</v>
      </c>
      <c r="C140" s="10">
        <v>45992</v>
      </c>
      <c r="D140" s="10">
        <v>45992</v>
      </c>
      <c r="E140" s="9" t="s">
        <v>289</v>
      </c>
      <c r="F140" s="9" t="s">
        <v>32</v>
      </c>
      <c r="G140" s="9" t="s">
        <v>264</v>
      </c>
      <c r="H140" s="11">
        <v>5109.1000000000004</v>
      </c>
      <c r="I140" s="11">
        <v>5109.1000000000004</v>
      </c>
      <c r="J140" s="11">
        <v>0</v>
      </c>
      <c r="K140">
        <v>1</v>
      </c>
    </row>
    <row r="141" spans="1:11" x14ac:dyDescent="0.25">
      <c r="A141" s="9" t="s">
        <v>52</v>
      </c>
      <c r="B141" s="9" t="s">
        <v>23</v>
      </c>
      <c r="C141" s="10">
        <v>45992</v>
      </c>
      <c r="D141" s="10">
        <v>45992</v>
      </c>
      <c r="E141" s="9" t="s">
        <v>290</v>
      </c>
      <c r="F141" s="9" t="s">
        <v>32</v>
      </c>
      <c r="G141" s="9" t="s">
        <v>291</v>
      </c>
      <c r="H141" s="11">
        <v>13979</v>
      </c>
      <c r="I141" s="11">
        <v>13979</v>
      </c>
      <c r="J141" s="11">
        <v>0</v>
      </c>
      <c r="K141">
        <v>1</v>
      </c>
    </row>
    <row r="142" spans="1:11" x14ac:dyDescent="0.25">
      <c r="A142" s="9" t="s">
        <v>52</v>
      </c>
      <c r="B142" s="9" t="s">
        <v>23</v>
      </c>
      <c r="C142" s="10">
        <v>45992</v>
      </c>
      <c r="D142" s="10">
        <v>45992</v>
      </c>
      <c r="E142" s="9" t="s">
        <v>292</v>
      </c>
      <c r="F142" s="9" t="s">
        <v>32</v>
      </c>
      <c r="G142" s="9" t="s">
        <v>293</v>
      </c>
      <c r="H142" s="11">
        <v>4696.46</v>
      </c>
      <c r="I142" s="11">
        <v>4696.46</v>
      </c>
      <c r="J142" s="11">
        <v>0</v>
      </c>
      <c r="K142">
        <v>1</v>
      </c>
    </row>
    <row r="143" spans="1:11" x14ac:dyDescent="0.25">
      <c r="A143" s="9" t="s">
        <v>52</v>
      </c>
      <c r="B143" s="9" t="s">
        <v>23</v>
      </c>
      <c r="C143" s="10">
        <v>45992</v>
      </c>
      <c r="D143" s="10">
        <v>45992</v>
      </c>
      <c r="E143" s="9" t="s">
        <v>294</v>
      </c>
      <c r="F143" s="9" t="s">
        <v>32</v>
      </c>
      <c r="G143" s="9" t="s">
        <v>295</v>
      </c>
      <c r="H143" s="11">
        <v>4224.7</v>
      </c>
      <c r="I143" s="11">
        <v>4224.7</v>
      </c>
      <c r="J143" s="11">
        <v>0</v>
      </c>
      <c r="K143">
        <v>1</v>
      </c>
    </row>
    <row r="144" spans="1:11" x14ac:dyDescent="0.25">
      <c r="A144" s="9" t="s">
        <v>52</v>
      </c>
      <c r="B144" s="9" t="s">
        <v>23</v>
      </c>
      <c r="C144" s="10">
        <v>45992</v>
      </c>
      <c r="D144" s="10">
        <v>45992</v>
      </c>
      <c r="E144" s="9" t="s">
        <v>296</v>
      </c>
      <c r="F144" s="9" t="s">
        <v>32</v>
      </c>
      <c r="G144" s="9" t="s">
        <v>297</v>
      </c>
      <c r="H144" s="11">
        <v>4838.37</v>
      </c>
      <c r="I144" s="11">
        <v>4838.37</v>
      </c>
      <c r="J144" s="11">
        <v>0</v>
      </c>
      <c r="K144">
        <v>1</v>
      </c>
    </row>
    <row r="145" spans="1:11" x14ac:dyDescent="0.25">
      <c r="A145" s="9" t="s">
        <v>52</v>
      </c>
      <c r="B145" s="9" t="s">
        <v>23</v>
      </c>
      <c r="C145" s="10">
        <v>45992</v>
      </c>
      <c r="D145" s="10">
        <v>45992</v>
      </c>
      <c r="E145" s="9" t="s">
        <v>298</v>
      </c>
      <c r="F145" s="9" t="s">
        <v>32</v>
      </c>
      <c r="G145" s="9" t="s">
        <v>299</v>
      </c>
      <c r="H145" s="11">
        <v>4266.51</v>
      </c>
      <c r="I145" s="11">
        <v>4266.51</v>
      </c>
      <c r="J145" s="11">
        <v>0</v>
      </c>
      <c r="K145">
        <v>1</v>
      </c>
    </row>
    <row r="146" spans="1:11" x14ac:dyDescent="0.25">
      <c r="A146" s="9" t="s">
        <v>52</v>
      </c>
      <c r="B146" s="9" t="s">
        <v>23</v>
      </c>
      <c r="C146" s="10">
        <v>45992</v>
      </c>
      <c r="D146" s="10">
        <v>45992</v>
      </c>
      <c r="E146" s="9" t="s">
        <v>300</v>
      </c>
      <c r="F146" s="9" t="s">
        <v>32</v>
      </c>
      <c r="G146" s="9" t="s">
        <v>301</v>
      </c>
      <c r="H146" s="11">
        <v>785.59</v>
      </c>
      <c r="I146" s="11">
        <v>785.59</v>
      </c>
      <c r="J146" s="11">
        <v>0</v>
      </c>
      <c r="K146">
        <v>1</v>
      </c>
    </row>
    <row r="147" spans="1:11" x14ac:dyDescent="0.25">
      <c r="A147" s="9" t="s">
        <v>52</v>
      </c>
      <c r="B147" s="9" t="s">
        <v>23</v>
      </c>
      <c r="C147" s="10">
        <v>45992</v>
      </c>
      <c r="D147" s="10">
        <v>45992</v>
      </c>
      <c r="E147" s="9" t="s">
        <v>302</v>
      </c>
      <c r="F147" s="9" t="s">
        <v>32</v>
      </c>
      <c r="G147" s="9" t="s">
        <v>303</v>
      </c>
      <c r="H147" s="11">
        <v>5034.75</v>
      </c>
      <c r="I147" s="11">
        <v>5034.75</v>
      </c>
      <c r="J147" s="11">
        <v>0</v>
      </c>
      <c r="K147">
        <v>1</v>
      </c>
    </row>
    <row r="148" spans="1:11" x14ac:dyDescent="0.25">
      <c r="A148" s="9" t="s">
        <v>52</v>
      </c>
      <c r="B148" s="9" t="s">
        <v>23</v>
      </c>
      <c r="C148" s="10">
        <v>45992</v>
      </c>
      <c r="D148" s="10">
        <v>45992</v>
      </c>
      <c r="E148" s="9" t="s">
        <v>304</v>
      </c>
      <c r="F148" s="9" t="s">
        <v>32</v>
      </c>
      <c r="G148" s="9" t="s">
        <v>305</v>
      </c>
      <c r="H148" s="11">
        <v>4032.64</v>
      </c>
      <c r="I148" s="11">
        <v>4032.64</v>
      </c>
      <c r="J148" s="11">
        <v>0</v>
      </c>
      <c r="K148">
        <v>1</v>
      </c>
    </row>
    <row r="149" spans="1:11" x14ac:dyDescent="0.25">
      <c r="A149" s="9" t="s">
        <v>52</v>
      </c>
      <c r="B149" s="9" t="s">
        <v>23</v>
      </c>
      <c r="C149" s="10">
        <v>45992</v>
      </c>
      <c r="D149" s="10">
        <v>45992</v>
      </c>
      <c r="E149" s="9" t="s">
        <v>306</v>
      </c>
      <c r="F149" s="9" t="s">
        <v>32</v>
      </c>
      <c r="G149" s="9" t="s">
        <v>307</v>
      </c>
      <c r="H149" s="11">
        <v>4811</v>
      </c>
      <c r="I149" s="11">
        <v>4811</v>
      </c>
      <c r="J149" s="11">
        <v>0</v>
      </c>
      <c r="K149">
        <v>1</v>
      </c>
    </row>
    <row r="150" spans="1:11" x14ac:dyDescent="0.25">
      <c r="A150" s="9" t="s">
        <v>52</v>
      </c>
      <c r="B150" s="9" t="s">
        <v>23</v>
      </c>
      <c r="C150" s="10">
        <v>45992</v>
      </c>
      <c r="D150" s="10">
        <v>45992</v>
      </c>
      <c r="E150" s="9" t="s">
        <v>308</v>
      </c>
      <c r="F150" s="9" t="s">
        <v>32</v>
      </c>
      <c r="G150" s="9" t="s">
        <v>309</v>
      </c>
      <c r="H150" s="11">
        <v>4688.51</v>
      </c>
      <c r="I150" s="11">
        <v>4688.51</v>
      </c>
      <c r="J150" s="11">
        <v>0</v>
      </c>
      <c r="K150">
        <v>1</v>
      </c>
    </row>
    <row r="151" spans="1:11" x14ac:dyDescent="0.25">
      <c r="A151" s="9" t="s">
        <v>52</v>
      </c>
      <c r="B151" s="9" t="s">
        <v>23</v>
      </c>
      <c r="C151" s="10">
        <v>45992</v>
      </c>
      <c r="D151" s="10">
        <v>45992</v>
      </c>
      <c r="E151" s="9" t="s">
        <v>310</v>
      </c>
      <c r="F151" s="9" t="s">
        <v>32</v>
      </c>
      <c r="G151" s="9" t="s">
        <v>122</v>
      </c>
      <c r="H151" s="11">
        <v>4541.5600000000004</v>
      </c>
      <c r="I151" s="11">
        <v>4541.5600000000004</v>
      </c>
      <c r="J151" s="11">
        <v>0</v>
      </c>
      <c r="K151">
        <v>1</v>
      </c>
    </row>
    <row r="152" spans="1:11" x14ac:dyDescent="0.25">
      <c r="A152" s="9" t="s">
        <v>52</v>
      </c>
      <c r="B152" s="9" t="s">
        <v>23</v>
      </c>
      <c r="C152" s="10">
        <v>45992</v>
      </c>
      <c r="D152" s="10">
        <v>45992</v>
      </c>
      <c r="E152" s="9" t="s">
        <v>311</v>
      </c>
      <c r="F152" s="9" t="s">
        <v>32</v>
      </c>
      <c r="G152" s="9" t="s">
        <v>312</v>
      </c>
      <c r="H152" s="11">
        <v>5087.1099999999997</v>
      </c>
      <c r="I152" s="11">
        <v>5087.1099999999997</v>
      </c>
      <c r="J152" s="11">
        <v>0</v>
      </c>
      <c r="K152">
        <v>1</v>
      </c>
    </row>
    <row r="153" spans="1:11" x14ac:dyDescent="0.25">
      <c r="A153" s="9" t="s">
        <v>52</v>
      </c>
      <c r="B153" s="9" t="s">
        <v>55</v>
      </c>
      <c r="C153" s="10">
        <v>45993</v>
      </c>
      <c r="D153" s="10">
        <v>45993</v>
      </c>
      <c r="E153" s="9" t="s">
        <v>313</v>
      </c>
      <c r="F153" s="9" t="s">
        <v>57</v>
      </c>
      <c r="G153" s="9" t="s">
        <v>314</v>
      </c>
      <c r="H153" s="11">
        <v>8894.1200000000008</v>
      </c>
      <c r="I153" s="11">
        <v>8894.1200000000008</v>
      </c>
      <c r="J153" s="11">
        <v>0</v>
      </c>
      <c r="K153">
        <v>1</v>
      </c>
    </row>
    <row r="154" spans="1:11" x14ac:dyDescent="0.25">
      <c r="A154" s="9" t="s">
        <v>52</v>
      </c>
      <c r="B154" s="9" t="s">
        <v>23</v>
      </c>
      <c r="C154" s="10">
        <v>45993</v>
      </c>
      <c r="D154" s="10">
        <v>45993</v>
      </c>
      <c r="E154" s="9" t="s">
        <v>315</v>
      </c>
      <c r="F154" s="9" t="s">
        <v>32</v>
      </c>
      <c r="G154" s="9" t="s">
        <v>316</v>
      </c>
      <c r="H154" s="11">
        <v>155.09</v>
      </c>
      <c r="I154" s="11">
        <v>155.09</v>
      </c>
      <c r="J154" s="11">
        <v>0</v>
      </c>
      <c r="K154">
        <v>1</v>
      </c>
    </row>
    <row r="155" spans="1:11" x14ac:dyDescent="0.25">
      <c r="A155" s="9" t="s">
        <v>52</v>
      </c>
      <c r="B155" s="9" t="s">
        <v>23</v>
      </c>
      <c r="C155" s="10">
        <v>45993</v>
      </c>
      <c r="D155" s="10">
        <v>45993</v>
      </c>
      <c r="E155" s="9" t="s">
        <v>317</v>
      </c>
      <c r="F155" s="9" t="s">
        <v>32</v>
      </c>
      <c r="G155" s="9" t="s">
        <v>273</v>
      </c>
      <c r="H155" s="11">
        <v>1189.23</v>
      </c>
      <c r="I155" s="11">
        <v>1189.23</v>
      </c>
      <c r="J155" s="11">
        <v>0</v>
      </c>
      <c r="K155">
        <v>1</v>
      </c>
    </row>
    <row r="156" spans="1:11" x14ac:dyDescent="0.25">
      <c r="A156" s="9" t="s">
        <v>52</v>
      </c>
      <c r="B156" s="9" t="s">
        <v>23</v>
      </c>
      <c r="C156" s="10">
        <v>45993</v>
      </c>
      <c r="D156" s="10">
        <v>45993</v>
      </c>
      <c r="E156" s="9" t="s">
        <v>318</v>
      </c>
      <c r="F156" s="9" t="s">
        <v>32</v>
      </c>
      <c r="G156" s="9" t="s">
        <v>319</v>
      </c>
      <c r="H156" s="11">
        <v>1066.1099999999999</v>
      </c>
      <c r="I156" s="11">
        <v>1066.1099999999999</v>
      </c>
      <c r="J156" s="11">
        <v>0</v>
      </c>
      <c r="K156">
        <v>1</v>
      </c>
    </row>
    <row r="157" spans="1:11" x14ac:dyDescent="0.25">
      <c r="A157" s="9" t="s">
        <v>52</v>
      </c>
      <c r="B157" s="9" t="s">
        <v>23</v>
      </c>
      <c r="C157" s="10">
        <v>45993</v>
      </c>
      <c r="D157" s="10">
        <v>45993</v>
      </c>
      <c r="E157" s="9" t="s">
        <v>320</v>
      </c>
      <c r="F157" s="9" t="s">
        <v>32</v>
      </c>
      <c r="G157" s="9" t="s">
        <v>321</v>
      </c>
      <c r="H157" s="11">
        <v>1013.62</v>
      </c>
      <c r="I157" s="11">
        <v>1013.62</v>
      </c>
      <c r="J157" s="11">
        <v>0</v>
      </c>
      <c r="K157">
        <v>1</v>
      </c>
    </row>
    <row r="158" spans="1:11" x14ac:dyDescent="0.25">
      <c r="A158" s="9" t="s">
        <v>52</v>
      </c>
      <c r="B158" s="9" t="s">
        <v>23</v>
      </c>
      <c r="C158" s="10">
        <v>45993</v>
      </c>
      <c r="D158" s="10">
        <v>45993</v>
      </c>
      <c r="E158" s="9" t="s">
        <v>322</v>
      </c>
      <c r="F158" s="9" t="s">
        <v>141</v>
      </c>
      <c r="G158" s="9" t="s">
        <v>323</v>
      </c>
      <c r="H158" s="11">
        <v>-17525.02</v>
      </c>
      <c r="I158" s="11">
        <v>-17525.02</v>
      </c>
      <c r="J158" s="11">
        <v>0</v>
      </c>
      <c r="K158">
        <v>1</v>
      </c>
    </row>
    <row r="159" spans="1:11" x14ac:dyDescent="0.25">
      <c r="A159" s="9" t="s">
        <v>52</v>
      </c>
      <c r="B159" s="9" t="s">
        <v>23</v>
      </c>
      <c r="C159" s="10">
        <v>45993</v>
      </c>
      <c r="D159" s="10">
        <v>45993</v>
      </c>
      <c r="E159" s="9" t="s">
        <v>324</v>
      </c>
      <c r="F159" s="9" t="s">
        <v>141</v>
      </c>
      <c r="G159" s="9" t="s">
        <v>325</v>
      </c>
      <c r="H159" s="11">
        <v>-15877.2</v>
      </c>
      <c r="I159" s="11">
        <v>-15877.2</v>
      </c>
      <c r="J159" s="11">
        <v>0</v>
      </c>
      <c r="K159">
        <v>1</v>
      </c>
    </row>
    <row r="160" spans="1:11" x14ac:dyDescent="0.25">
      <c r="A160" s="9" t="s">
        <v>52</v>
      </c>
      <c r="B160" s="9" t="s">
        <v>23</v>
      </c>
      <c r="C160" s="10">
        <v>45993</v>
      </c>
      <c r="D160" s="10">
        <v>45993</v>
      </c>
      <c r="E160" s="9" t="s">
        <v>326</v>
      </c>
      <c r="F160" s="9" t="s">
        <v>141</v>
      </c>
      <c r="G160" s="9" t="s">
        <v>327</v>
      </c>
      <c r="H160" s="11">
        <v>-13751.98</v>
      </c>
      <c r="I160" s="11">
        <v>-13751.98</v>
      </c>
      <c r="J160" s="11">
        <v>0</v>
      </c>
      <c r="K160">
        <v>1</v>
      </c>
    </row>
    <row r="161" spans="1:11" x14ac:dyDescent="0.25">
      <c r="A161" s="9" t="s">
        <v>52</v>
      </c>
      <c r="B161" s="9" t="s">
        <v>23</v>
      </c>
      <c r="C161" s="10">
        <v>45993</v>
      </c>
      <c r="D161" s="10">
        <v>45993</v>
      </c>
      <c r="E161" s="9" t="s">
        <v>328</v>
      </c>
      <c r="F161" s="9" t="s">
        <v>32</v>
      </c>
      <c r="G161" s="9" t="s">
        <v>222</v>
      </c>
      <c r="H161" s="11">
        <v>990.63</v>
      </c>
      <c r="I161" s="11">
        <v>990.63</v>
      </c>
      <c r="J161" s="11">
        <v>0</v>
      </c>
      <c r="K161">
        <v>1</v>
      </c>
    </row>
    <row r="162" spans="1:11" x14ac:dyDescent="0.25">
      <c r="A162" s="9" t="s">
        <v>52</v>
      </c>
      <c r="B162" s="9" t="s">
        <v>23</v>
      </c>
      <c r="C162" s="10">
        <v>45993</v>
      </c>
      <c r="D162" s="10">
        <v>45993</v>
      </c>
      <c r="E162" s="9" t="s">
        <v>329</v>
      </c>
      <c r="F162" s="9" t="s">
        <v>32</v>
      </c>
      <c r="G162" s="9" t="s">
        <v>330</v>
      </c>
      <c r="H162" s="11">
        <v>974.26</v>
      </c>
      <c r="I162" s="11">
        <v>974.26</v>
      </c>
      <c r="J162" s="11">
        <v>0</v>
      </c>
      <c r="K162">
        <v>1</v>
      </c>
    </row>
    <row r="163" spans="1:11" x14ac:dyDescent="0.25">
      <c r="A163" s="9" t="s">
        <v>52</v>
      </c>
      <c r="B163" s="9" t="s">
        <v>23</v>
      </c>
      <c r="C163" s="10">
        <v>45993</v>
      </c>
      <c r="D163" s="10">
        <v>45993</v>
      </c>
      <c r="E163" s="9" t="s">
        <v>331</v>
      </c>
      <c r="F163" s="9" t="s">
        <v>141</v>
      </c>
      <c r="G163" s="9" t="s">
        <v>332</v>
      </c>
      <c r="H163" s="11">
        <v>-8014.5</v>
      </c>
      <c r="I163" s="11">
        <v>-8014.5</v>
      </c>
      <c r="J163" s="11">
        <v>0</v>
      </c>
      <c r="K163">
        <v>1</v>
      </c>
    </row>
    <row r="164" spans="1:11" x14ac:dyDescent="0.25">
      <c r="A164" s="9" t="s">
        <v>52</v>
      </c>
      <c r="B164" s="9" t="s">
        <v>23</v>
      </c>
      <c r="C164" s="10">
        <v>45993</v>
      </c>
      <c r="D164" s="10">
        <v>45993</v>
      </c>
      <c r="E164" s="9" t="s">
        <v>333</v>
      </c>
      <c r="F164" s="9" t="s">
        <v>32</v>
      </c>
      <c r="G164" s="9" t="s">
        <v>334</v>
      </c>
      <c r="H164" s="11">
        <v>4546.72</v>
      </c>
      <c r="I164" s="11">
        <v>4546.72</v>
      </c>
      <c r="J164" s="11">
        <v>0</v>
      </c>
      <c r="K164">
        <v>1</v>
      </c>
    </row>
    <row r="165" spans="1:11" x14ac:dyDescent="0.25">
      <c r="A165" s="9" t="s">
        <v>52</v>
      </c>
      <c r="B165" s="9" t="s">
        <v>23</v>
      </c>
      <c r="C165" s="10">
        <v>45993</v>
      </c>
      <c r="D165" s="10">
        <v>45993</v>
      </c>
      <c r="E165" s="9" t="s">
        <v>335</v>
      </c>
      <c r="F165" s="9" t="s">
        <v>32</v>
      </c>
      <c r="G165" s="9" t="s">
        <v>336</v>
      </c>
      <c r="H165" s="11">
        <v>735.54</v>
      </c>
      <c r="I165" s="11">
        <v>735.54</v>
      </c>
      <c r="J165" s="11">
        <v>0</v>
      </c>
      <c r="K165">
        <v>1</v>
      </c>
    </row>
    <row r="166" spans="1:11" x14ac:dyDescent="0.25">
      <c r="A166" s="9" t="s">
        <v>52</v>
      </c>
      <c r="B166" s="9" t="s">
        <v>23</v>
      </c>
      <c r="C166" s="10">
        <v>45993</v>
      </c>
      <c r="D166" s="10">
        <v>45993</v>
      </c>
      <c r="E166" s="9" t="s">
        <v>337</v>
      </c>
      <c r="F166" s="9" t="s">
        <v>32</v>
      </c>
      <c r="G166" s="9" t="s">
        <v>137</v>
      </c>
      <c r="H166" s="11">
        <v>702.85</v>
      </c>
      <c r="I166" s="11">
        <v>702.85</v>
      </c>
      <c r="J166" s="11">
        <v>0</v>
      </c>
      <c r="K166">
        <v>1</v>
      </c>
    </row>
    <row r="167" spans="1:11" x14ac:dyDescent="0.25">
      <c r="A167" s="9" t="s">
        <v>52</v>
      </c>
      <c r="B167" s="9" t="s">
        <v>23</v>
      </c>
      <c r="C167" s="10">
        <v>45993</v>
      </c>
      <c r="D167" s="10">
        <v>45993</v>
      </c>
      <c r="E167" s="9" t="s">
        <v>338</v>
      </c>
      <c r="F167" s="9" t="s">
        <v>32</v>
      </c>
      <c r="G167" s="9" t="s">
        <v>339</v>
      </c>
      <c r="H167" s="11">
        <v>658.12</v>
      </c>
      <c r="I167" s="11">
        <v>658.12</v>
      </c>
      <c r="J167" s="11">
        <v>0</v>
      </c>
      <c r="K167">
        <v>1</v>
      </c>
    </row>
    <row r="168" spans="1:11" x14ac:dyDescent="0.25">
      <c r="A168" s="9" t="s">
        <v>52</v>
      </c>
      <c r="B168" s="9" t="s">
        <v>23</v>
      </c>
      <c r="C168" s="10">
        <v>45993</v>
      </c>
      <c r="D168" s="10">
        <v>45993</v>
      </c>
      <c r="E168" s="9" t="s">
        <v>340</v>
      </c>
      <c r="F168" s="9" t="s">
        <v>32</v>
      </c>
      <c r="G168" s="9" t="s">
        <v>341</v>
      </c>
      <c r="H168" s="11">
        <v>1224.94</v>
      </c>
      <c r="I168" s="11">
        <v>1224.94</v>
      </c>
      <c r="J168" s="11">
        <v>0</v>
      </c>
      <c r="K168">
        <v>1</v>
      </c>
    </row>
    <row r="169" spans="1:11" x14ac:dyDescent="0.25">
      <c r="A169" s="9" t="s">
        <v>52</v>
      </c>
      <c r="B169" s="9" t="s">
        <v>23</v>
      </c>
      <c r="C169" s="10">
        <v>45993</v>
      </c>
      <c r="D169" s="10">
        <v>45993</v>
      </c>
      <c r="E169" s="9" t="s">
        <v>342</v>
      </c>
      <c r="F169" s="9" t="s">
        <v>32</v>
      </c>
      <c r="G169" s="9" t="s">
        <v>343</v>
      </c>
      <c r="H169" s="11">
        <v>649</v>
      </c>
      <c r="I169" s="11">
        <v>649</v>
      </c>
      <c r="J169" s="11">
        <v>0</v>
      </c>
      <c r="K169">
        <v>1</v>
      </c>
    </row>
    <row r="170" spans="1:11" x14ac:dyDescent="0.25">
      <c r="A170" s="9" t="s">
        <v>52</v>
      </c>
      <c r="B170" s="9" t="s">
        <v>23</v>
      </c>
      <c r="C170" s="10">
        <v>45993</v>
      </c>
      <c r="D170" s="10">
        <v>45993</v>
      </c>
      <c r="E170" s="9" t="s">
        <v>344</v>
      </c>
      <c r="F170" s="9" t="s">
        <v>141</v>
      </c>
      <c r="G170" s="9" t="s">
        <v>345</v>
      </c>
      <c r="H170" s="11">
        <v>-6485.52</v>
      </c>
      <c r="I170" s="11">
        <v>-6485.52</v>
      </c>
      <c r="J170" s="11">
        <v>0</v>
      </c>
      <c r="K170">
        <v>1</v>
      </c>
    </row>
    <row r="171" spans="1:11" x14ac:dyDescent="0.25">
      <c r="A171" s="9" t="s">
        <v>52</v>
      </c>
      <c r="B171" s="9" t="s">
        <v>23</v>
      </c>
      <c r="C171" s="10">
        <v>45993</v>
      </c>
      <c r="D171" s="10">
        <v>45993</v>
      </c>
      <c r="E171" s="9" t="s">
        <v>346</v>
      </c>
      <c r="F171" s="9" t="s">
        <v>32</v>
      </c>
      <c r="G171" s="9" t="s">
        <v>347</v>
      </c>
      <c r="H171" s="11">
        <v>599.04</v>
      </c>
      <c r="I171" s="11">
        <v>599.04</v>
      </c>
      <c r="J171" s="11">
        <v>0</v>
      </c>
      <c r="K171">
        <v>1</v>
      </c>
    </row>
    <row r="172" spans="1:11" x14ac:dyDescent="0.25">
      <c r="A172" s="9" t="s">
        <v>52</v>
      </c>
      <c r="B172" s="9" t="s">
        <v>23</v>
      </c>
      <c r="C172" s="10">
        <v>45993</v>
      </c>
      <c r="D172" s="10">
        <v>45993</v>
      </c>
      <c r="E172" s="9" t="s">
        <v>348</v>
      </c>
      <c r="F172" s="9" t="s">
        <v>32</v>
      </c>
      <c r="G172" s="9" t="s">
        <v>349</v>
      </c>
      <c r="H172" s="11">
        <v>577.77</v>
      </c>
      <c r="I172" s="11">
        <v>577.77</v>
      </c>
      <c r="J172" s="11">
        <v>0</v>
      </c>
      <c r="K172">
        <v>1</v>
      </c>
    </row>
    <row r="173" spans="1:11" x14ac:dyDescent="0.25">
      <c r="A173" s="9" t="s">
        <v>52</v>
      </c>
      <c r="B173" s="9" t="s">
        <v>23</v>
      </c>
      <c r="C173" s="10">
        <v>45993</v>
      </c>
      <c r="D173" s="10">
        <v>45993</v>
      </c>
      <c r="E173" s="9" t="s">
        <v>350</v>
      </c>
      <c r="F173" s="9" t="s">
        <v>141</v>
      </c>
      <c r="G173" s="9" t="s">
        <v>351</v>
      </c>
      <c r="H173" s="11">
        <v>-6329.67</v>
      </c>
      <c r="I173" s="11">
        <v>-6329.67</v>
      </c>
      <c r="J173" s="11">
        <v>0</v>
      </c>
      <c r="K173">
        <v>1</v>
      </c>
    </row>
    <row r="174" spans="1:11" x14ac:dyDescent="0.25">
      <c r="A174" s="9" t="s">
        <v>52</v>
      </c>
      <c r="B174" s="9" t="s">
        <v>23</v>
      </c>
      <c r="C174" s="10">
        <v>45993</v>
      </c>
      <c r="D174" s="10">
        <v>45993</v>
      </c>
      <c r="E174" s="9" t="s">
        <v>352</v>
      </c>
      <c r="F174" s="9" t="s">
        <v>32</v>
      </c>
      <c r="G174" s="9" t="s">
        <v>353</v>
      </c>
      <c r="H174" s="11">
        <v>1246.27</v>
      </c>
      <c r="I174" s="11">
        <v>1246.27</v>
      </c>
      <c r="J174" s="11">
        <v>0</v>
      </c>
      <c r="K174">
        <v>1</v>
      </c>
    </row>
    <row r="175" spans="1:11" x14ac:dyDescent="0.25">
      <c r="A175" s="9" t="s">
        <v>52</v>
      </c>
      <c r="B175" s="9" t="s">
        <v>23</v>
      </c>
      <c r="C175" s="10">
        <v>45993</v>
      </c>
      <c r="D175" s="10">
        <v>45993</v>
      </c>
      <c r="E175" s="9" t="s">
        <v>354</v>
      </c>
      <c r="F175" s="9" t="s">
        <v>32</v>
      </c>
      <c r="G175" s="9" t="s">
        <v>355</v>
      </c>
      <c r="H175" s="11">
        <v>1253.78</v>
      </c>
      <c r="I175" s="11">
        <v>1253.78</v>
      </c>
      <c r="J175" s="11">
        <v>0</v>
      </c>
      <c r="K175">
        <v>1</v>
      </c>
    </row>
    <row r="176" spans="1:11" x14ac:dyDescent="0.25">
      <c r="A176" s="9" t="s">
        <v>52</v>
      </c>
      <c r="B176" s="9" t="s">
        <v>23</v>
      </c>
      <c r="C176" s="10">
        <v>45993</v>
      </c>
      <c r="D176" s="10">
        <v>45993</v>
      </c>
      <c r="E176" s="9" t="s">
        <v>356</v>
      </c>
      <c r="F176" s="9" t="s">
        <v>141</v>
      </c>
      <c r="G176" s="9" t="s">
        <v>357</v>
      </c>
      <c r="H176" s="11">
        <v>-37982.26</v>
      </c>
      <c r="I176" s="11">
        <v>-37982.26</v>
      </c>
      <c r="J176" s="11">
        <v>0</v>
      </c>
      <c r="K176">
        <v>1</v>
      </c>
    </row>
    <row r="177" spans="1:11" x14ac:dyDescent="0.25">
      <c r="A177" s="9" t="s">
        <v>52</v>
      </c>
      <c r="B177" s="9" t="s">
        <v>23</v>
      </c>
      <c r="C177" s="10">
        <v>45993</v>
      </c>
      <c r="D177" s="10">
        <v>45993</v>
      </c>
      <c r="E177" s="9" t="s">
        <v>358</v>
      </c>
      <c r="F177" s="9" t="s">
        <v>32</v>
      </c>
      <c r="G177" s="9" t="s">
        <v>359</v>
      </c>
      <c r="H177" s="11">
        <v>5455.14</v>
      </c>
      <c r="I177" s="11">
        <v>5455.14</v>
      </c>
      <c r="J177" s="11">
        <v>0</v>
      </c>
      <c r="K177">
        <v>1</v>
      </c>
    </row>
    <row r="178" spans="1:11" x14ac:dyDescent="0.25">
      <c r="A178" s="9" t="s">
        <v>52</v>
      </c>
      <c r="B178" s="9" t="s">
        <v>23</v>
      </c>
      <c r="C178" s="10">
        <v>45993</v>
      </c>
      <c r="D178" s="10">
        <v>45993</v>
      </c>
      <c r="E178" s="9" t="s">
        <v>360</v>
      </c>
      <c r="F178" s="9" t="s">
        <v>32</v>
      </c>
      <c r="G178" s="9" t="s">
        <v>281</v>
      </c>
      <c r="H178" s="11">
        <v>4449.0600000000004</v>
      </c>
      <c r="I178" s="11">
        <v>4449.0600000000004</v>
      </c>
      <c r="J178" s="11">
        <v>0</v>
      </c>
      <c r="K178">
        <v>1</v>
      </c>
    </row>
    <row r="179" spans="1:11" x14ac:dyDescent="0.25">
      <c r="A179" s="9" t="s">
        <v>52</v>
      </c>
      <c r="B179" s="9" t="s">
        <v>23</v>
      </c>
      <c r="C179" s="10">
        <v>45993</v>
      </c>
      <c r="D179" s="10">
        <v>45993</v>
      </c>
      <c r="E179" s="9" t="s">
        <v>361</v>
      </c>
      <c r="F179" s="9" t="s">
        <v>32</v>
      </c>
      <c r="G179" s="9" t="s">
        <v>362</v>
      </c>
      <c r="H179" s="11">
        <v>4082.99</v>
      </c>
      <c r="I179" s="11">
        <v>4082.99</v>
      </c>
      <c r="J179" s="11">
        <v>0</v>
      </c>
      <c r="K179">
        <v>1</v>
      </c>
    </row>
    <row r="180" spans="1:11" x14ac:dyDescent="0.25">
      <c r="A180" s="9" t="s">
        <v>52</v>
      </c>
      <c r="B180" s="9" t="s">
        <v>23</v>
      </c>
      <c r="C180" s="10">
        <v>45993</v>
      </c>
      <c r="D180" s="10">
        <v>45993</v>
      </c>
      <c r="E180" s="9" t="s">
        <v>363</v>
      </c>
      <c r="F180" s="9" t="s">
        <v>32</v>
      </c>
      <c r="G180" s="9" t="s">
        <v>364</v>
      </c>
      <c r="H180" s="11">
        <v>6210.21</v>
      </c>
      <c r="I180" s="11">
        <v>6210.21</v>
      </c>
      <c r="J180" s="11">
        <v>0</v>
      </c>
      <c r="K180">
        <v>1</v>
      </c>
    </row>
    <row r="181" spans="1:11" x14ac:dyDescent="0.25">
      <c r="A181" s="9" t="s">
        <v>52</v>
      </c>
      <c r="B181" s="9" t="s">
        <v>23</v>
      </c>
      <c r="C181" s="10">
        <v>45993</v>
      </c>
      <c r="D181" s="10">
        <v>45993</v>
      </c>
      <c r="E181" s="9" t="s">
        <v>365</v>
      </c>
      <c r="F181" s="9" t="s">
        <v>32</v>
      </c>
      <c r="G181" s="9" t="s">
        <v>133</v>
      </c>
      <c r="H181" s="11">
        <v>3862.7</v>
      </c>
      <c r="I181" s="11">
        <v>3862.7</v>
      </c>
      <c r="J181" s="11">
        <v>0</v>
      </c>
      <c r="K181">
        <v>1</v>
      </c>
    </row>
    <row r="182" spans="1:11" x14ac:dyDescent="0.25">
      <c r="A182" s="9" t="s">
        <v>52</v>
      </c>
      <c r="B182" s="9" t="s">
        <v>23</v>
      </c>
      <c r="C182" s="10">
        <v>45993</v>
      </c>
      <c r="D182" s="10">
        <v>45993</v>
      </c>
      <c r="E182" s="9" t="s">
        <v>366</v>
      </c>
      <c r="F182" s="9" t="s">
        <v>32</v>
      </c>
      <c r="G182" s="9" t="s">
        <v>367</v>
      </c>
      <c r="H182" s="11">
        <v>3802.74</v>
      </c>
      <c r="I182" s="11">
        <v>3802.74</v>
      </c>
      <c r="J182" s="11">
        <v>0</v>
      </c>
      <c r="K182">
        <v>1</v>
      </c>
    </row>
    <row r="183" spans="1:11" x14ac:dyDescent="0.25">
      <c r="A183" s="9" t="s">
        <v>52</v>
      </c>
      <c r="B183" s="9" t="s">
        <v>23</v>
      </c>
      <c r="C183" s="10">
        <v>45993</v>
      </c>
      <c r="D183" s="10">
        <v>45993</v>
      </c>
      <c r="E183" s="9" t="s">
        <v>368</v>
      </c>
      <c r="F183" s="9" t="s">
        <v>32</v>
      </c>
      <c r="G183" s="9" t="s">
        <v>116</v>
      </c>
      <c r="H183" s="11">
        <v>7715.65</v>
      </c>
      <c r="I183" s="11">
        <v>7715.65</v>
      </c>
      <c r="J183" s="11">
        <v>0</v>
      </c>
      <c r="K183">
        <v>1</v>
      </c>
    </row>
    <row r="184" spans="1:11" x14ac:dyDescent="0.25">
      <c r="A184" s="9" t="s">
        <v>52</v>
      </c>
      <c r="B184" s="9" t="s">
        <v>23</v>
      </c>
      <c r="C184" s="10">
        <v>45993</v>
      </c>
      <c r="D184" s="10">
        <v>45993</v>
      </c>
      <c r="E184" s="9" t="s">
        <v>369</v>
      </c>
      <c r="F184" s="9" t="s">
        <v>32</v>
      </c>
      <c r="G184" s="9" t="s">
        <v>247</v>
      </c>
      <c r="H184" s="11">
        <v>3797.43</v>
      </c>
      <c r="I184" s="11">
        <v>3797.43</v>
      </c>
      <c r="J184" s="11">
        <v>0</v>
      </c>
      <c r="K184">
        <v>1</v>
      </c>
    </row>
    <row r="185" spans="1:11" x14ac:dyDescent="0.25">
      <c r="A185" s="9" t="s">
        <v>52</v>
      </c>
      <c r="B185" s="9" t="s">
        <v>23</v>
      </c>
      <c r="C185" s="10">
        <v>45993</v>
      </c>
      <c r="D185" s="10">
        <v>45993</v>
      </c>
      <c r="E185" s="9" t="s">
        <v>370</v>
      </c>
      <c r="F185" s="9" t="s">
        <v>32</v>
      </c>
      <c r="G185" s="9" t="s">
        <v>72</v>
      </c>
      <c r="H185" s="11">
        <v>3555.59</v>
      </c>
      <c r="I185" s="11">
        <v>3555.59</v>
      </c>
      <c r="J185" s="11">
        <v>0</v>
      </c>
      <c r="K185">
        <v>1</v>
      </c>
    </row>
    <row r="186" spans="1:11" x14ac:dyDescent="0.25">
      <c r="A186" s="9" t="s">
        <v>52</v>
      </c>
      <c r="B186" s="9" t="s">
        <v>23</v>
      </c>
      <c r="C186" s="10">
        <v>45993</v>
      </c>
      <c r="D186" s="10">
        <v>45993</v>
      </c>
      <c r="E186" s="9" t="s">
        <v>371</v>
      </c>
      <c r="F186" s="9" t="s">
        <v>32</v>
      </c>
      <c r="G186" s="9" t="s">
        <v>268</v>
      </c>
      <c r="H186" s="11">
        <v>15510.99</v>
      </c>
      <c r="I186" s="11">
        <v>15510.99</v>
      </c>
      <c r="J186" s="11">
        <v>0</v>
      </c>
      <c r="K186">
        <v>1</v>
      </c>
    </row>
    <row r="187" spans="1:11" x14ac:dyDescent="0.25">
      <c r="A187" s="9" t="s">
        <v>52</v>
      </c>
      <c r="B187" s="9" t="s">
        <v>23</v>
      </c>
      <c r="C187" s="10">
        <v>45993</v>
      </c>
      <c r="D187" s="10">
        <v>45993</v>
      </c>
      <c r="E187" s="9" t="s">
        <v>372</v>
      </c>
      <c r="F187" s="9" t="s">
        <v>32</v>
      </c>
      <c r="G187" s="9" t="s">
        <v>373</v>
      </c>
      <c r="H187" s="11">
        <v>15831.55</v>
      </c>
      <c r="I187" s="11">
        <v>15831.55</v>
      </c>
      <c r="J187" s="11">
        <v>0</v>
      </c>
      <c r="K187">
        <v>1</v>
      </c>
    </row>
    <row r="188" spans="1:11" x14ac:dyDescent="0.25">
      <c r="A188" s="9" t="s">
        <v>52</v>
      </c>
      <c r="B188" s="9" t="s">
        <v>23</v>
      </c>
      <c r="C188" s="10">
        <v>45993</v>
      </c>
      <c r="D188" s="10">
        <v>45993</v>
      </c>
      <c r="E188" s="9" t="s">
        <v>374</v>
      </c>
      <c r="F188" s="9" t="s">
        <v>32</v>
      </c>
      <c r="G188" s="9" t="s">
        <v>375</v>
      </c>
      <c r="H188" s="11">
        <v>3546.27</v>
      </c>
      <c r="I188" s="11">
        <v>3546.27</v>
      </c>
      <c r="J188" s="11">
        <v>0</v>
      </c>
      <c r="K188">
        <v>1</v>
      </c>
    </row>
    <row r="189" spans="1:11" x14ac:dyDescent="0.25">
      <c r="A189" s="9" t="s">
        <v>52</v>
      </c>
      <c r="B189" s="9" t="s">
        <v>23</v>
      </c>
      <c r="C189" s="10">
        <v>45993</v>
      </c>
      <c r="D189" s="10">
        <v>45993</v>
      </c>
      <c r="E189" s="9" t="s">
        <v>376</v>
      </c>
      <c r="F189" s="9" t="s">
        <v>32</v>
      </c>
      <c r="G189" s="9" t="s">
        <v>377</v>
      </c>
      <c r="H189" s="11">
        <v>3200.9</v>
      </c>
      <c r="I189" s="11">
        <v>3200.9</v>
      </c>
      <c r="J189" s="11">
        <v>0</v>
      </c>
      <c r="K189">
        <v>1</v>
      </c>
    </row>
    <row r="190" spans="1:11" x14ac:dyDescent="0.25">
      <c r="A190" s="9" t="s">
        <v>52</v>
      </c>
      <c r="B190" s="9" t="s">
        <v>23</v>
      </c>
      <c r="C190" s="10">
        <v>45993</v>
      </c>
      <c r="D190" s="10">
        <v>45993</v>
      </c>
      <c r="E190" s="9" t="s">
        <v>378</v>
      </c>
      <c r="F190" s="9" t="s">
        <v>32</v>
      </c>
      <c r="G190" s="9" t="s">
        <v>379</v>
      </c>
      <c r="H190" s="11">
        <v>3165.99</v>
      </c>
      <c r="I190" s="11">
        <v>3165.99</v>
      </c>
      <c r="J190" s="11">
        <v>0</v>
      </c>
      <c r="K190">
        <v>1</v>
      </c>
    </row>
    <row r="191" spans="1:11" x14ac:dyDescent="0.25">
      <c r="A191" s="9" t="s">
        <v>52</v>
      </c>
      <c r="B191" s="9" t="s">
        <v>23</v>
      </c>
      <c r="C191" s="10">
        <v>45993</v>
      </c>
      <c r="D191" s="10">
        <v>45993</v>
      </c>
      <c r="E191" s="9" t="s">
        <v>380</v>
      </c>
      <c r="F191" s="9" t="s">
        <v>32</v>
      </c>
      <c r="G191" s="9" t="s">
        <v>312</v>
      </c>
      <c r="H191" s="11">
        <v>751.25</v>
      </c>
      <c r="I191" s="11">
        <v>751.25</v>
      </c>
      <c r="J191" s="11">
        <v>0</v>
      </c>
      <c r="K191">
        <v>1</v>
      </c>
    </row>
    <row r="192" spans="1:11" x14ac:dyDescent="0.25">
      <c r="A192" s="9" t="s">
        <v>52</v>
      </c>
      <c r="B192" s="9" t="s">
        <v>23</v>
      </c>
      <c r="C192" s="10">
        <v>45993</v>
      </c>
      <c r="D192" s="10">
        <v>45993</v>
      </c>
      <c r="E192" s="9" t="s">
        <v>381</v>
      </c>
      <c r="F192" s="9" t="s">
        <v>32</v>
      </c>
      <c r="G192" s="9" t="s">
        <v>382</v>
      </c>
      <c r="H192" s="11">
        <v>2985.57</v>
      </c>
      <c r="I192" s="11">
        <v>2985.57</v>
      </c>
      <c r="J192" s="11">
        <v>0</v>
      </c>
      <c r="K192">
        <v>1</v>
      </c>
    </row>
    <row r="193" spans="1:11" x14ac:dyDescent="0.25">
      <c r="A193" s="9" t="s">
        <v>52</v>
      </c>
      <c r="B193" s="9" t="s">
        <v>23</v>
      </c>
      <c r="C193" s="10">
        <v>45993</v>
      </c>
      <c r="D193" s="10">
        <v>45993</v>
      </c>
      <c r="E193" s="9" t="s">
        <v>383</v>
      </c>
      <c r="F193" s="9" t="s">
        <v>32</v>
      </c>
      <c r="G193" s="9" t="s">
        <v>60</v>
      </c>
      <c r="H193" s="11">
        <v>2926.8</v>
      </c>
      <c r="I193" s="11">
        <v>2926.8</v>
      </c>
      <c r="J193" s="11">
        <v>0</v>
      </c>
      <c r="K193">
        <v>1</v>
      </c>
    </row>
    <row r="194" spans="1:11" x14ac:dyDescent="0.25">
      <c r="A194" s="9" t="s">
        <v>52</v>
      </c>
      <c r="B194" s="9" t="s">
        <v>23</v>
      </c>
      <c r="C194" s="10">
        <v>45993</v>
      </c>
      <c r="D194" s="10">
        <v>45993</v>
      </c>
      <c r="E194" s="9" t="s">
        <v>384</v>
      </c>
      <c r="F194" s="9" t="s">
        <v>32</v>
      </c>
      <c r="G194" s="9" t="s">
        <v>139</v>
      </c>
      <c r="H194" s="11">
        <v>2597.83</v>
      </c>
      <c r="I194" s="11">
        <v>2597.83</v>
      </c>
      <c r="J194" s="11">
        <v>0</v>
      </c>
      <c r="K194">
        <v>1</v>
      </c>
    </row>
    <row r="195" spans="1:11" x14ac:dyDescent="0.25">
      <c r="A195" s="9" t="s">
        <v>52</v>
      </c>
      <c r="B195" s="9" t="s">
        <v>23</v>
      </c>
      <c r="C195" s="10">
        <v>45993</v>
      </c>
      <c r="D195" s="10">
        <v>45993</v>
      </c>
      <c r="E195" s="9" t="s">
        <v>385</v>
      </c>
      <c r="F195" s="9" t="s">
        <v>32</v>
      </c>
      <c r="G195" s="9" t="s">
        <v>386</v>
      </c>
      <c r="H195" s="11">
        <v>2559.56</v>
      </c>
      <c r="I195" s="11">
        <v>2559.56</v>
      </c>
      <c r="J195" s="11">
        <v>0</v>
      </c>
      <c r="K195">
        <v>1</v>
      </c>
    </row>
    <row r="196" spans="1:11" x14ac:dyDescent="0.25">
      <c r="A196" s="9" t="s">
        <v>52</v>
      </c>
      <c r="B196" s="9" t="s">
        <v>23</v>
      </c>
      <c r="C196" s="10">
        <v>45993</v>
      </c>
      <c r="D196" s="10">
        <v>45993</v>
      </c>
      <c r="E196" s="9" t="s">
        <v>387</v>
      </c>
      <c r="F196" s="9" t="s">
        <v>32</v>
      </c>
      <c r="G196" s="9" t="s">
        <v>388</v>
      </c>
      <c r="H196" s="11">
        <v>2325.89</v>
      </c>
      <c r="I196" s="11">
        <v>2325.89</v>
      </c>
      <c r="J196" s="11">
        <v>0</v>
      </c>
      <c r="K196">
        <v>1</v>
      </c>
    </row>
    <row r="197" spans="1:11" x14ac:dyDescent="0.25">
      <c r="A197" s="9" t="s">
        <v>52</v>
      </c>
      <c r="B197" s="9" t="s">
        <v>23</v>
      </c>
      <c r="C197" s="10">
        <v>45993</v>
      </c>
      <c r="D197" s="10">
        <v>45993</v>
      </c>
      <c r="E197" s="9" t="s">
        <v>389</v>
      </c>
      <c r="F197" s="9" t="s">
        <v>32</v>
      </c>
      <c r="G197" s="9" t="s">
        <v>90</v>
      </c>
      <c r="H197" s="11">
        <v>2062.4499999999998</v>
      </c>
      <c r="I197" s="11">
        <v>2062.4499999999998</v>
      </c>
      <c r="J197" s="11">
        <v>0</v>
      </c>
      <c r="K197">
        <v>1</v>
      </c>
    </row>
    <row r="198" spans="1:11" x14ac:dyDescent="0.25">
      <c r="A198" s="9" t="s">
        <v>52</v>
      </c>
      <c r="B198" s="9" t="s">
        <v>23</v>
      </c>
      <c r="C198" s="10">
        <v>45993</v>
      </c>
      <c r="D198" s="10">
        <v>45993</v>
      </c>
      <c r="E198" s="9" t="s">
        <v>390</v>
      </c>
      <c r="F198" s="9" t="s">
        <v>32</v>
      </c>
      <c r="G198" s="9" t="s">
        <v>391</v>
      </c>
      <c r="H198" s="11">
        <v>1872.26</v>
      </c>
      <c r="I198" s="11">
        <v>1872.26</v>
      </c>
      <c r="J198" s="11">
        <v>0</v>
      </c>
      <c r="K198">
        <v>1</v>
      </c>
    </row>
    <row r="199" spans="1:11" x14ac:dyDescent="0.25">
      <c r="A199" s="9" t="s">
        <v>52</v>
      </c>
      <c r="B199" s="9" t="s">
        <v>23</v>
      </c>
      <c r="C199" s="10">
        <v>45993</v>
      </c>
      <c r="D199" s="10">
        <v>45993</v>
      </c>
      <c r="E199" s="9" t="s">
        <v>392</v>
      </c>
      <c r="F199" s="9" t="s">
        <v>32</v>
      </c>
      <c r="G199" s="9" t="s">
        <v>393</v>
      </c>
      <c r="H199" s="11">
        <v>1531.44</v>
      </c>
      <c r="I199" s="11">
        <v>1531.44</v>
      </c>
      <c r="J199" s="11">
        <v>0</v>
      </c>
      <c r="K199">
        <v>1</v>
      </c>
    </row>
    <row r="200" spans="1:11" x14ac:dyDescent="0.25">
      <c r="A200" s="9" t="s">
        <v>52</v>
      </c>
      <c r="B200" s="9" t="s">
        <v>23</v>
      </c>
      <c r="C200" s="10">
        <v>45993</v>
      </c>
      <c r="D200" s="10">
        <v>45993</v>
      </c>
      <c r="E200" s="9" t="s">
        <v>394</v>
      </c>
      <c r="F200" s="9" t="s">
        <v>32</v>
      </c>
      <c r="G200" s="9" t="s">
        <v>281</v>
      </c>
      <c r="H200" s="11">
        <v>6769.57</v>
      </c>
      <c r="I200" s="11">
        <v>6769.57</v>
      </c>
      <c r="J200" s="11">
        <v>0</v>
      </c>
      <c r="K200">
        <v>1</v>
      </c>
    </row>
    <row r="201" spans="1:11" x14ac:dyDescent="0.25">
      <c r="A201" s="9" t="s">
        <v>52</v>
      </c>
      <c r="B201" s="9" t="s">
        <v>23</v>
      </c>
      <c r="C201" s="10">
        <v>45993</v>
      </c>
      <c r="D201" s="10">
        <v>45993</v>
      </c>
      <c r="E201" s="9" t="s">
        <v>395</v>
      </c>
      <c r="F201" s="9" t="s">
        <v>32</v>
      </c>
      <c r="G201" s="9" t="s">
        <v>396</v>
      </c>
      <c r="H201" s="11">
        <v>1283.05</v>
      </c>
      <c r="I201" s="11">
        <v>1283.05</v>
      </c>
      <c r="J201" s="11">
        <v>0</v>
      </c>
      <c r="K201">
        <v>1</v>
      </c>
    </row>
    <row r="202" spans="1:11" x14ac:dyDescent="0.25">
      <c r="A202" s="9" t="s">
        <v>52</v>
      </c>
      <c r="B202" s="9" t="s">
        <v>23</v>
      </c>
      <c r="C202" s="10">
        <v>45993</v>
      </c>
      <c r="D202" s="10">
        <v>45993</v>
      </c>
      <c r="E202" s="9" t="s">
        <v>397</v>
      </c>
      <c r="F202" s="9" t="s">
        <v>32</v>
      </c>
      <c r="G202" s="9" t="s">
        <v>398</v>
      </c>
      <c r="H202" s="11">
        <v>3020.27</v>
      </c>
      <c r="I202" s="11">
        <v>3020.27</v>
      </c>
      <c r="J202" s="11">
        <v>0</v>
      </c>
      <c r="K202">
        <v>1</v>
      </c>
    </row>
    <row r="203" spans="1:11" x14ac:dyDescent="0.25">
      <c r="A203" s="9" t="s">
        <v>52</v>
      </c>
      <c r="B203" s="9" t="s">
        <v>23</v>
      </c>
      <c r="C203" s="10">
        <v>45993</v>
      </c>
      <c r="D203" s="10">
        <v>45993</v>
      </c>
      <c r="E203" s="9" t="s">
        <v>399</v>
      </c>
      <c r="F203" s="9" t="s">
        <v>32</v>
      </c>
      <c r="G203" s="9" t="s">
        <v>400</v>
      </c>
      <c r="H203" s="11">
        <v>5742.92</v>
      </c>
      <c r="I203" s="11">
        <v>5742.92</v>
      </c>
      <c r="J203" s="11">
        <v>0</v>
      </c>
      <c r="K203">
        <v>1</v>
      </c>
    </row>
    <row r="204" spans="1:11" x14ac:dyDescent="0.25">
      <c r="A204" s="9" t="s">
        <v>52</v>
      </c>
      <c r="B204" s="9" t="s">
        <v>23</v>
      </c>
      <c r="C204" s="10">
        <v>45993</v>
      </c>
      <c r="D204" s="10">
        <v>45993</v>
      </c>
      <c r="E204" s="9" t="s">
        <v>401</v>
      </c>
      <c r="F204" s="9" t="s">
        <v>32</v>
      </c>
      <c r="G204" s="9" t="s">
        <v>402</v>
      </c>
      <c r="H204" s="11">
        <v>4928.3100000000004</v>
      </c>
      <c r="I204" s="11">
        <v>4928.3100000000004</v>
      </c>
      <c r="J204" s="11">
        <v>0</v>
      </c>
      <c r="K204">
        <v>1</v>
      </c>
    </row>
    <row r="205" spans="1:11" x14ac:dyDescent="0.25">
      <c r="A205" s="9" t="s">
        <v>52</v>
      </c>
      <c r="B205" s="9" t="s">
        <v>23</v>
      </c>
      <c r="C205" s="10">
        <v>45993</v>
      </c>
      <c r="D205" s="10">
        <v>45993</v>
      </c>
      <c r="E205" s="9" t="s">
        <v>403</v>
      </c>
      <c r="F205" s="9" t="s">
        <v>32</v>
      </c>
      <c r="G205" s="9" t="s">
        <v>122</v>
      </c>
      <c r="H205" s="11">
        <v>5626.5</v>
      </c>
      <c r="I205" s="11">
        <v>5626.5</v>
      </c>
      <c r="J205" s="11">
        <v>0</v>
      </c>
      <c r="K205">
        <v>1</v>
      </c>
    </row>
    <row r="206" spans="1:11" x14ac:dyDescent="0.25">
      <c r="A206" s="9" t="s">
        <v>52</v>
      </c>
      <c r="B206" s="9" t="s">
        <v>23</v>
      </c>
      <c r="C206" s="10">
        <v>45993</v>
      </c>
      <c r="D206" s="10">
        <v>45993</v>
      </c>
      <c r="E206" s="9" t="s">
        <v>404</v>
      </c>
      <c r="F206" s="9" t="s">
        <v>32</v>
      </c>
      <c r="G206" s="9" t="s">
        <v>66</v>
      </c>
      <c r="H206" s="11">
        <v>5077.25</v>
      </c>
      <c r="I206" s="11">
        <v>5077.25</v>
      </c>
      <c r="J206" s="11">
        <v>0</v>
      </c>
      <c r="K206">
        <v>1</v>
      </c>
    </row>
    <row r="207" spans="1:11" x14ac:dyDescent="0.25">
      <c r="A207" s="9" t="s">
        <v>52</v>
      </c>
      <c r="B207" s="9" t="s">
        <v>23</v>
      </c>
      <c r="C207" s="10">
        <v>45993</v>
      </c>
      <c r="D207" s="10">
        <v>45993</v>
      </c>
      <c r="E207" s="9" t="s">
        <v>405</v>
      </c>
      <c r="F207" s="9" t="s">
        <v>32</v>
      </c>
      <c r="G207" s="9" t="s">
        <v>309</v>
      </c>
      <c r="H207" s="11">
        <v>3012.88</v>
      </c>
      <c r="I207" s="11">
        <v>3012.88</v>
      </c>
      <c r="J207" s="11">
        <v>0</v>
      </c>
      <c r="K207">
        <v>1</v>
      </c>
    </row>
    <row r="208" spans="1:11" x14ac:dyDescent="0.25">
      <c r="A208" s="9" t="s">
        <v>52</v>
      </c>
      <c r="B208" s="9" t="s">
        <v>23</v>
      </c>
      <c r="C208" s="10">
        <v>45993</v>
      </c>
      <c r="D208" s="10">
        <v>45993</v>
      </c>
      <c r="E208" s="9" t="s">
        <v>406</v>
      </c>
      <c r="F208" s="9" t="s">
        <v>32</v>
      </c>
      <c r="G208" s="9" t="s">
        <v>230</v>
      </c>
      <c r="H208" s="11">
        <v>13403.77</v>
      </c>
      <c r="I208" s="11">
        <v>13403.77</v>
      </c>
      <c r="J208" s="11">
        <v>0</v>
      </c>
      <c r="K208">
        <v>1</v>
      </c>
    </row>
    <row r="209" spans="1:11" x14ac:dyDescent="0.25">
      <c r="A209" s="9" t="s">
        <v>52</v>
      </c>
      <c r="B209" s="9" t="s">
        <v>23</v>
      </c>
      <c r="C209" s="10">
        <v>45993</v>
      </c>
      <c r="D209" s="10">
        <v>45993</v>
      </c>
      <c r="E209" s="9" t="s">
        <v>407</v>
      </c>
      <c r="F209" s="9" t="s">
        <v>32</v>
      </c>
      <c r="G209" s="9" t="s">
        <v>239</v>
      </c>
      <c r="H209" s="11">
        <v>2214.69</v>
      </c>
      <c r="I209" s="11">
        <v>2214.69</v>
      </c>
      <c r="J209" s="11">
        <v>0</v>
      </c>
      <c r="K209">
        <v>1</v>
      </c>
    </row>
    <row r="210" spans="1:11" x14ac:dyDescent="0.25">
      <c r="A210" s="9" t="s">
        <v>52</v>
      </c>
      <c r="B210" s="9" t="s">
        <v>23</v>
      </c>
      <c r="C210" s="10">
        <v>45993</v>
      </c>
      <c r="D210" s="10">
        <v>45993</v>
      </c>
      <c r="E210" s="9" t="s">
        <v>408</v>
      </c>
      <c r="F210" s="9" t="s">
        <v>32</v>
      </c>
      <c r="G210" s="9" t="s">
        <v>256</v>
      </c>
      <c r="H210" s="11">
        <v>2452.64</v>
      </c>
      <c r="I210" s="11">
        <v>2452.64</v>
      </c>
      <c r="J210" s="11">
        <v>0</v>
      </c>
      <c r="K210">
        <v>1</v>
      </c>
    </row>
    <row r="211" spans="1:11" x14ac:dyDescent="0.25">
      <c r="A211" s="9" t="s">
        <v>52</v>
      </c>
      <c r="B211" s="9" t="s">
        <v>55</v>
      </c>
      <c r="C211" s="10">
        <v>45994</v>
      </c>
      <c r="D211" s="10">
        <v>45994</v>
      </c>
      <c r="E211" s="9" t="s">
        <v>409</v>
      </c>
      <c r="F211" s="9" t="s">
        <v>57</v>
      </c>
      <c r="G211" s="9" t="s">
        <v>273</v>
      </c>
      <c r="H211" s="11">
        <v>13465.5</v>
      </c>
      <c r="I211" s="11">
        <v>13465.5</v>
      </c>
      <c r="J211" s="11">
        <v>0</v>
      </c>
      <c r="K211">
        <v>1</v>
      </c>
    </row>
    <row r="212" spans="1:11" x14ac:dyDescent="0.25">
      <c r="A212" s="9" t="s">
        <v>52</v>
      </c>
      <c r="B212" s="9" t="s">
        <v>23</v>
      </c>
      <c r="C212" s="10">
        <v>45994</v>
      </c>
      <c r="D212" s="10">
        <v>45994</v>
      </c>
      <c r="E212" s="9" t="s">
        <v>410</v>
      </c>
      <c r="F212" s="9" t="s">
        <v>32</v>
      </c>
      <c r="G212" s="9" t="s">
        <v>411</v>
      </c>
      <c r="H212" s="11">
        <v>424.72</v>
      </c>
      <c r="I212" s="11">
        <v>424.72</v>
      </c>
      <c r="J212" s="11">
        <v>0</v>
      </c>
      <c r="K212">
        <v>1</v>
      </c>
    </row>
    <row r="213" spans="1:11" x14ac:dyDescent="0.25">
      <c r="A213" s="9" t="s">
        <v>52</v>
      </c>
      <c r="B213" s="9" t="s">
        <v>23</v>
      </c>
      <c r="C213" s="10">
        <v>45994</v>
      </c>
      <c r="D213" s="10">
        <v>45994</v>
      </c>
      <c r="E213" s="9" t="s">
        <v>412</v>
      </c>
      <c r="F213" s="9" t="s">
        <v>32</v>
      </c>
      <c r="G213" s="9" t="s">
        <v>413</v>
      </c>
      <c r="H213" s="11">
        <v>3154.47</v>
      </c>
      <c r="I213" s="11">
        <v>3154.47</v>
      </c>
      <c r="J213" s="11">
        <v>0</v>
      </c>
      <c r="K213">
        <v>1</v>
      </c>
    </row>
    <row r="214" spans="1:11" x14ac:dyDescent="0.25">
      <c r="A214" s="9" t="s">
        <v>52</v>
      </c>
      <c r="B214" s="9" t="s">
        <v>23</v>
      </c>
      <c r="C214" s="10">
        <v>45994</v>
      </c>
      <c r="D214" s="10">
        <v>45994</v>
      </c>
      <c r="E214" s="9" t="s">
        <v>414</v>
      </c>
      <c r="F214" s="9" t="s">
        <v>32</v>
      </c>
      <c r="G214" s="9" t="s">
        <v>398</v>
      </c>
      <c r="H214" s="11">
        <v>6333.55</v>
      </c>
      <c r="I214" s="11">
        <v>6333.55</v>
      </c>
      <c r="J214" s="11">
        <v>0</v>
      </c>
      <c r="K214">
        <v>1</v>
      </c>
    </row>
    <row r="215" spans="1:11" x14ac:dyDescent="0.25">
      <c r="A215" s="9" t="s">
        <v>52</v>
      </c>
      <c r="B215" s="9" t="s">
        <v>23</v>
      </c>
      <c r="C215" s="10">
        <v>45994</v>
      </c>
      <c r="D215" s="10">
        <v>45994</v>
      </c>
      <c r="E215" s="9" t="s">
        <v>415</v>
      </c>
      <c r="F215" s="9" t="s">
        <v>32</v>
      </c>
      <c r="G215" s="9" t="s">
        <v>416</v>
      </c>
      <c r="H215" s="11">
        <v>3151.52</v>
      </c>
      <c r="I215" s="11">
        <v>3151.52</v>
      </c>
      <c r="J215" s="11">
        <v>0</v>
      </c>
      <c r="K215">
        <v>1</v>
      </c>
    </row>
    <row r="216" spans="1:11" x14ac:dyDescent="0.25">
      <c r="A216" s="9" t="s">
        <v>52</v>
      </c>
      <c r="B216" s="9" t="s">
        <v>23</v>
      </c>
      <c r="C216" s="10">
        <v>45994</v>
      </c>
      <c r="D216" s="10">
        <v>45994</v>
      </c>
      <c r="E216" s="9" t="s">
        <v>417</v>
      </c>
      <c r="F216" s="9" t="s">
        <v>32</v>
      </c>
      <c r="G216" s="9" t="s">
        <v>102</v>
      </c>
      <c r="H216" s="11">
        <v>2975.04</v>
      </c>
      <c r="I216" s="11">
        <v>2975.04</v>
      </c>
      <c r="J216" s="11">
        <v>0</v>
      </c>
      <c r="K216">
        <v>1</v>
      </c>
    </row>
    <row r="217" spans="1:11" x14ac:dyDescent="0.25">
      <c r="A217" s="9" t="s">
        <v>52</v>
      </c>
      <c r="B217" s="9" t="s">
        <v>23</v>
      </c>
      <c r="C217" s="10">
        <v>45994</v>
      </c>
      <c r="D217" s="10">
        <v>45994</v>
      </c>
      <c r="E217" s="9" t="s">
        <v>418</v>
      </c>
      <c r="F217" s="9" t="s">
        <v>32</v>
      </c>
      <c r="G217" s="9" t="s">
        <v>78</v>
      </c>
      <c r="H217" s="11">
        <v>2638.58</v>
      </c>
      <c r="I217" s="11">
        <v>2638.58</v>
      </c>
      <c r="J217" s="11">
        <v>0</v>
      </c>
      <c r="K217">
        <v>1</v>
      </c>
    </row>
    <row r="218" spans="1:11" x14ac:dyDescent="0.25">
      <c r="A218" s="9" t="s">
        <v>52</v>
      </c>
      <c r="B218" s="9" t="s">
        <v>23</v>
      </c>
      <c r="C218" s="10">
        <v>45994</v>
      </c>
      <c r="D218" s="10">
        <v>45994</v>
      </c>
      <c r="E218" s="9" t="s">
        <v>419</v>
      </c>
      <c r="F218" s="9" t="s">
        <v>32</v>
      </c>
      <c r="G218" s="9" t="s">
        <v>420</v>
      </c>
      <c r="H218" s="11">
        <v>573.04</v>
      </c>
      <c r="I218" s="11">
        <v>573.04</v>
      </c>
      <c r="J218" s="11">
        <v>0</v>
      </c>
      <c r="K218">
        <v>1</v>
      </c>
    </row>
    <row r="219" spans="1:11" x14ac:dyDescent="0.25">
      <c r="A219" s="9" t="s">
        <v>52</v>
      </c>
      <c r="B219" s="9" t="s">
        <v>23</v>
      </c>
      <c r="C219" s="10">
        <v>45994</v>
      </c>
      <c r="D219" s="10">
        <v>45994</v>
      </c>
      <c r="E219" s="9" t="s">
        <v>421</v>
      </c>
      <c r="F219" s="9" t="s">
        <v>32</v>
      </c>
      <c r="G219" s="9" t="s">
        <v>422</v>
      </c>
      <c r="H219" s="11">
        <v>1970.26</v>
      </c>
      <c r="I219" s="11">
        <v>1970.26</v>
      </c>
      <c r="J219" s="11">
        <v>0</v>
      </c>
      <c r="K219">
        <v>1</v>
      </c>
    </row>
    <row r="220" spans="1:11" x14ac:dyDescent="0.25">
      <c r="A220" s="9" t="s">
        <v>52</v>
      </c>
      <c r="B220" s="9" t="s">
        <v>23</v>
      </c>
      <c r="C220" s="10">
        <v>45994</v>
      </c>
      <c r="D220" s="10">
        <v>45994</v>
      </c>
      <c r="E220" s="9" t="s">
        <v>423</v>
      </c>
      <c r="F220" s="9" t="s">
        <v>32</v>
      </c>
      <c r="G220" s="9" t="s">
        <v>424</v>
      </c>
      <c r="H220" s="11">
        <v>3175.03</v>
      </c>
      <c r="I220" s="11">
        <v>3175.03</v>
      </c>
      <c r="J220" s="11">
        <v>0</v>
      </c>
      <c r="K220">
        <v>1</v>
      </c>
    </row>
    <row r="221" spans="1:11" x14ac:dyDescent="0.25">
      <c r="A221" s="9" t="s">
        <v>52</v>
      </c>
      <c r="B221" s="9" t="s">
        <v>23</v>
      </c>
      <c r="C221" s="10">
        <v>45994</v>
      </c>
      <c r="D221" s="10">
        <v>45994</v>
      </c>
      <c r="E221" s="9" t="s">
        <v>425</v>
      </c>
      <c r="F221" s="9" t="s">
        <v>32</v>
      </c>
      <c r="G221" s="9" t="s">
        <v>124</v>
      </c>
      <c r="H221" s="11">
        <v>1860.16</v>
      </c>
      <c r="I221" s="11">
        <v>1860.16</v>
      </c>
      <c r="J221" s="11">
        <v>0</v>
      </c>
      <c r="K221">
        <v>1</v>
      </c>
    </row>
    <row r="222" spans="1:11" x14ac:dyDescent="0.25">
      <c r="A222" s="9" t="s">
        <v>52</v>
      </c>
      <c r="B222" s="9" t="s">
        <v>23</v>
      </c>
      <c r="C222" s="10">
        <v>45994</v>
      </c>
      <c r="D222" s="10">
        <v>45994</v>
      </c>
      <c r="E222" s="9" t="s">
        <v>426</v>
      </c>
      <c r="F222" s="9" t="s">
        <v>32</v>
      </c>
      <c r="G222" s="9" t="s">
        <v>84</v>
      </c>
      <c r="H222" s="11">
        <v>844.39</v>
      </c>
      <c r="I222" s="11">
        <v>844.39</v>
      </c>
      <c r="J222" s="11">
        <v>0</v>
      </c>
      <c r="K222">
        <v>1</v>
      </c>
    </row>
    <row r="223" spans="1:11" x14ac:dyDescent="0.25">
      <c r="A223" s="9" t="s">
        <v>52</v>
      </c>
      <c r="B223" s="9" t="s">
        <v>23</v>
      </c>
      <c r="C223" s="10">
        <v>45994</v>
      </c>
      <c r="D223" s="10">
        <v>45994</v>
      </c>
      <c r="E223" s="9" t="s">
        <v>427</v>
      </c>
      <c r="F223" s="9" t="s">
        <v>32</v>
      </c>
      <c r="G223" s="9" t="s">
        <v>428</v>
      </c>
      <c r="H223" s="11">
        <v>3036.73</v>
      </c>
      <c r="I223" s="11">
        <v>3036.73</v>
      </c>
      <c r="J223" s="11">
        <v>0</v>
      </c>
      <c r="K223">
        <v>1</v>
      </c>
    </row>
    <row r="224" spans="1:11" x14ac:dyDescent="0.25">
      <c r="A224" s="9" t="s">
        <v>52</v>
      </c>
      <c r="B224" s="9" t="s">
        <v>23</v>
      </c>
      <c r="C224" s="10">
        <v>45994</v>
      </c>
      <c r="D224" s="10">
        <v>45994</v>
      </c>
      <c r="E224" s="9" t="s">
        <v>429</v>
      </c>
      <c r="F224" s="9" t="s">
        <v>32</v>
      </c>
      <c r="G224" s="9" t="s">
        <v>281</v>
      </c>
      <c r="H224" s="11">
        <v>3744.1</v>
      </c>
      <c r="I224" s="11">
        <v>3744.1</v>
      </c>
      <c r="J224" s="11">
        <v>0</v>
      </c>
      <c r="K224">
        <v>1</v>
      </c>
    </row>
    <row r="225" spans="1:11" x14ac:dyDescent="0.25">
      <c r="A225" s="9" t="s">
        <v>52</v>
      </c>
      <c r="B225" s="9" t="s">
        <v>23</v>
      </c>
      <c r="C225" s="10">
        <v>45994</v>
      </c>
      <c r="D225" s="10">
        <v>45994</v>
      </c>
      <c r="E225" s="9" t="s">
        <v>430</v>
      </c>
      <c r="F225" s="9" t="s">
        <v>32</v>
      </c>
      <c r="G225" s="9" t="s">
        <v>312</v>
      </c>
      <c r="H225" s="11">
        <v>5437.14</v>
      </c>
      <c r="I225" s="11">
        <v>5437.14</v>
      </c>
      <c r="J225" s="11">
        <v>0</v>
      </c>
      <c r="K225">
        <v>1</v>
      </c>
    </row>
    <row r="226" spans="1:11" x14ac:dyDescent="0.25">
      <c r="A226" s="9" t="s">
        <v>52</v>
      </c>
      <c r="B226" s="9" t="s">
        <v>23</v>
      </c>
      <c r="C226" s="10">
        <v>45994</v>
      </c>
      <c r="D226" s="10">
        <v>45994</v>
      </c>
      <c r="E226" s="9" t="s">
        <v>431</v>
      </c>
      <c r="F226" s="9" t="s">
        <v>32</v>
      </c>
      <c r="G226" s="9" t="s">
        <v>432</v>
      </c>
      <c r="H226" s="11">
        <v>1704.31</v>
      </c>
      <c r="I226" s="11">
        <v>1704.31</v>
      </c>
      <c r="J226" s="11">
        <v>0</v>
      </c>
      <c r="K226">
        <v>1</v>
      </c>
    </row>
    <row r="227" spans="1:11" x14ac:dyDescent="0.25">
      <c r="A227" s="9" t="s">
        <v>52</v>
      </c>
      <c r="B227" s="9" t="s">
        <v>23</v>
      </c>
      <c r="C227" s="10">
        <v>45994</v>
      </c>
      <c r="D227" s="10">
        <v>45994</v>
      </c>
      <c r="E227" s="9" t="s">
        <v>433</v>
      </c>
      <c r="F227" s="9" t="s">
        <v>32</v>
      </c>
      <c r="G227" s="9" t="s">
        <v>434</v>
      </c>
      <c r="H227" s="11">
        <v>953.56</v>
      </c>
      <c r="I227" s="11">
        <v>953.56</v>
      </c>
      <c r="J227" s="11">
        <v>0</v>
      </c>
      <c r="K227">
        <v>1</v>
      </c>
    </row>
    <row r="228" spans="1:11" x14ac:dyDescent="0.25">
      <c r="A228" s="9" t="s">
        <v>52</v>
      </c>
      <c r="B228" s="9" t="s">
        <v>23</v>
      </c>
      <c r="C228" s="10">
        <v>45994</v>
      </c>
      <c r="D228" s="10">
        <v>45994</v>
      </c>
      <c r="E228" s="9" t="s">
        <v>435</v>
      </c>
      <c r="F228" s="9" t="s">
        <v>32</v>
      </c>
      <c r="G228" s="9" t="s">
        <v>230</v>
      </c>
      <c r="H228" s="11">
        <v>6548.76</v>
      </c>
      <c r="I228" s="11">
        <v>6548.76</v>
      </c>
      <c r="J228" s="11">
        <v>0</v>
      </c>
      <c r="K228">
        <v>1</v>
      </c>
    </row>
    <row r="229" spans="1:11" x14ac:dyDescent="0.25">
      <c r="A229" s="9" t="s">
        <v>52</v>
      </c>
      <c r="B229" s="9" t="s">
        <v>23</v>
      </c>
      <c r="C229" s="10">
        <v>45994</v>
      </c>
      <c r="D229" s="10">
        <v>45994</v>
      </c>
      <c r="E229" s="9" t="s">
        <v>436</v>
      </c>
      <c r="F229" s="9" t="s">
        <v>32</v>
      </c>
      <c r="G229" s="9" t="s">
        <v>88</v>
      </c>
      <c r="H229" s="11">
        <v>1343.58</v>
      </c>
      <c r="I229" s="11">
        <v>1343.58</v>
      </c>
      <c r="J229" s="11">
        <v>0</v>
      </c>
      <c r="K229">
        <v>1</v>
      </c>
    </row>
    <row r="230" spans="1:11" x14ac:dyDescent="0.25">
      <c r="A230" s="9" t="s">
        <v>52</v>
      </c>
      <c r="B230" s="9" t="s">
        <v>23</v>
      </c>
      <c r="C230" s="10">
        <v>45994</v>
      </c>
      <c r="D230" s="10">
        <v>45994</v>
      </c>
      <c r="E230" s="9" t="s">
        <v>437</v>
      </c>
      <c r="F230" s="9" t="s">
        <v>32</v>
      </c>
      <c r="G230" s="9" t="s">
        <v>438</v>
      </c>
      <c r="H230" s="11">
        <v>2167.11</v>
      </c>
      <c r="I230" s="11">
        <v>2167.11</v>
      </c>
      <c r="J230" s="11">
        <v>0</v>
      </c>
      <c r="K230">
        <v>1</v>
      </c>
    </row>
    <row r="231" spans="1:11" x14ac:dyDescent="0.25">
      <c r="A231" s="9" t="s">
        <v>52</v>
      </c>
      <c r="B231" s="9" t="s">
        <v>23</v>
      </c>
      <c r="C231" s="10">
        <v>45994</v>
      </c>
      <c r="D231" s="10">
        <v>45994</v>
      </c>
      <c r="E231" s="9" t="s">
        <v>439</v>
      </c>
      <c r="F231" s="9" t="s">
        <v>32</v>
      </c>
      <c r="G231" s="9" t="s">
        <v>341</v>
      </c>
      <c r="H231" s="11">
        <v>211.24</v>
      </c>
      <c r="I231" s="11">
        <v>211.24</v>
      </c>
      <c r="J231" s="11">
        <v>0</v>
      </c>
      <c r="K231">
        <v>1</v>
      </c>
    </row>
    <row r="232" spans="1:11" x14ac:dyDescent="0.25">
      <c r="A232" s="9" t="s">
        <v>52</v>
      </c>
      <c r="B232" s="9" t="s">
        <v>23</v>
      </c>
      <c r="C232" s="10">
        <v>45994</v>
      </c>
      <c r="D232" s="10">
        <v>45994</v>
      </c>
      <c r="E232" s="9" t="s">
        <v>440</v>
      </c>
      <c r="F232" s="9" t="s">
        <v>32</v>
      </c>
      <c r="G232" s="9" t="s">
        <v>270</v>
      </c>
      <c r="H232" s="11">
        <v>17891.400000000001</v>
      </c>
      <c r="I232" s="11">
        <v>17891.400000000001</v>
      </c>
      <c r="J232" s="11">
        <v>0</v>
      </c>
      <c r="K232">
        <v>1</v>
      </c>
    </row>
    <row r="233" spans="1:11" x14ac:dyDescent="0.25">
      <c r="A233" s="9" t="s">
        <v>52</v>
      </c>
      <c r="B233" s="9" t="s">
        <v>23</v>
      </c>
      <c r="C233" s="10">
        <v>45994</v>
      </c>
      <c r="D233" s="10">
        <v>45994</v>
      </c>
      <c r="E233" s="9" t="s">
        <v>441</v>
      </c>
      <c r="F233" s="9" t="s">
        <v>32</v>
      </c>
      <c r="G233" s="9" t="s">
        <v>442</v>
      </c>
      <c r="H233" s="11">
        <v>3236.09</v>
      </c>
      <c r="I233" s="11">
        <v>3236.09</v>
      </c>
      <c r="J233" s="11">
        <v>0</v>
      </c>
      <c r="K233">
        <v>1</v>
      </c>
    </row>
    <row r="234" spans="1:11" x14ac:dyDescent="0.25">
      <c r="A234" s="9" t="s">
        <v>52</v>
      </c>
      <c r="B234" s="9" t="s">
        <v>23</v>
      </c>
      <c r="C234" s="10">
        <v>45994</v>
      </c>
      <c r="D234" s="10">
        <v>45994</v>
      </c>
      <c r="E234" s="9" t="s">
        <v>443</v>
      </c>
      <c r="F234" s="9" t="s">
        <v>32</v>
      </c>
      <c r="G234" s="9" t="s">
        <v>444</v>
      </c>
      <c r="H234" s="11">
        <v>14890.75</v>
      </c>
      <c r="I234" s="11">
        <v>14890.75</v>
      </c>
      <c r="J234" s="11">
        <v>0</v>
      </c>
      <c r="K234">
        <v>1</v>
      </c>
    </row>
    <row r="235" spans="1:11" x14ac:dyDescent="0.25">
      <c r="A235" s="9" t="s">
        <v>52</v>
      </c>
      <c r="B235" s="9" t="s">
        <v>23</v>
      </c>
      <c r="C235" s="10">
        <v>45994</v>
      </c>
      <c r="D235" s="10">
        <v>45994</v>
      </c>
      <c r="E235" s="9" t="s">
        <v>445</v>
      </c>
      <c r="F235" s="9" t="s">
        <v>32</v>
      </c>
      <c r="G235" s="9" t="s">
        <v>303</v>
      </c>
      <c r="H235" s="11">
        <v>12847.39</v>
      </c>
      <c r="I235" s="11">
        <v>12847.39</v>
      </c>
      <c r="J235" s="11">
        <v>0</v>
      </c>
      <c r="K235">
        <v>1</v>
      </c>
    </row>
    <row r="236" spans="1:11" x14ac:dyDescent="0.25">
      <c r="A236" s="9" t="s">
        <v>52</v>
      </c>
      <c r="B236" s="9" t="s">
        <v>23</v>
      </c>
      <c r="C236" s="10">
        <v>45994</v>
      </c>
      <c r="D236" s="10">
        <v>45994</v>
      </c>
      <c r="E236" s="9" t="s">
        <v>446</v>
      </c>
      <c r="F236" s="9" t="s">
        <v>32</v>
      </c>
      <c r="G236" s="9" t="s">
        <v>233</v>
      </c>
      <c r="H236" s="11">
        <v>11098.26</v>
      </c>
      <c r="I236" s="11">
        <v>11098.26</v>
      </c>
      <c r="J236" s="11">
        <v>0</v>
      </c>
      <c r="K236">
        <v>1</v>
      </c>
    </row>
    <row r="237" spans="1:11" x14ac:dyDescent="0.25">
      <c r="A237" s="9" t="s">
        <v>52</v>
      </c>
      <c r="B237" s="9" t="s">
        <v>23</v>
      </c>
      <c r="C237" s="10">
        <v>45994</v>
      </c>
      <c r="D237" s="10">
        <v>45994</v>
      </c>
      <c r="E237" s="9" t="s">
        <v>447</v>
      </c>
      <c r="F237" s="9" t="s">
        <v>32</v>
      </c>
      <c r="G237" s="9" t="s">
        <v>448</v>
      </c>
      <c r="H237" s="11">
        <v>10087</v>
      </c>
      <c r="I237" s="11">
        <v>10087</v>
      </c>
      <c r="J237" s="11">
        <v>0</v>
      </c>
      <c r="K237">
        <v>1</v>
      </c>
    </row>
    <row r="238" spans="1:11" x14ac:dyDescent="0.25">
      <c r="A238" s="9" t="s">
        <v>52</v>
      </c>
      <c r="B238" s="9" t="s">
        <v>23</v>
      </c>
      <c r="C238" s="10">
        <v>45994</v>
      </c>
      <c r="D238" s="10">
        <v>45994</v>
      </c>
      <c r="E238" s="9" t="s">
        <v>449</v>
      </c>
      <c r="F238" s="9" t="s">
        <v>32</v>
      </c>
      <c r="G238" s="9" t="s">
        <v>450</v>
      </c>
      <c r="H238" s="11">
        <v>9469.82</v>
      </c>
      <c r="I238" s="11">
        <v>9469.82</v>
      </c>
      <c r="J238" s="11">
        <v>0</v>
      </c>
      <c r="K238">
        <v>1</v>
      </c>
    </row>
    <row r="239" spans="1:11" x14ac:dyDescent="0.25">
      <c r="A239" s="9" t="s">
        <v>52</v>
      </c>
      <c r="B239" s="9" t="s">
        <v>23</v>
      </c>
      <c r="C239" s="10">
        <v>45994</v>
      </c>
      <c r="D239" s="10">
        <v>45994</v>
      </c>
      <c r="E239" s="9" t="s">
        <v>451</v>
      </c>
      <c r="F239" s="9" t="s">
        <v>32</v>
      </c>
      <c r="G239" s="9" t="s">
        <v>452</v>
      </c>
      <c r="H239" s="11">
        <v>1252.24</v>
      </c>
      <c r="I239" s="11">
        <v>1252.24</v>
      </c>
      <c r="J239" s="11">
        <v>0</v>
      </c>
      <c r="K239">
        <v>1</v>
      </c>
    </row>
    <row r="240" spans="1:11" x14ac:dyDescent="0.25">
      <c r="A240" s="9" t="s">
        <v>52</v>
      </c>
      <c r="B240" s="9" t="s">
        <v>23</v>
      </c>
      <c r="C240" s="10">
        <v>45994</v>
      </c>
      <c r="D240" s="10">
        <v>45994</v>
      </c>
      <c r="E240" s="9" t="s">
        <v>453</v>
      </c>
      <c r="F240" s="9" t="s">
        <v>32</v>
      </c>
      <c r="G240" s="9" t="s">
        <v>58</v>
      </c>
      <c r="H240" s="11">
        <v>9073.2099999999991</v>
      </c>
      <c r="I240" s="11">
        <v>9073.2099999999991</v>
      </c>
      <c r="J240" s="11">
        <v>0</v>
      </c>
      <c r="K240">
        <v>1</v>
      </c>
    </row>
    <row r="241" spans="1:11" x14ac:dyDescent="0.25">
      <c r="A241" s="9" t="s">
        <v>52</v>
      </c>
      <c r="B241" s="9" t="s">
        <v>23</v>
      </c>
      <c r="C241" s="10">
        <v>45994</v>
      </c>
      <c r="D241" s="10">
        <v>45994</v>
      </c>
      <c r="E241" s="9" t="s">
        <v>454</v>
      </c>
      <c r="F241" s="9" t="s">
        <v>141</v>
      </c>
      <c r="G241" s="9" t="s">
        <v>455</v>
      </c>
      <c r="H241" s="11">
        <v>-347319</v>
      </c>
      <c r="I241" s="11">
        <v>-347319</v>
      </c>
      <c r="J241" s="11">
        <v>0</v>
      </c>
      <c r="K241">
        <v>1</v>
      </c>
    </row>
    <row r="242" spans="1:11" x14ac:dyDescent="0.25">
      <c r="A242" s="9" t="s">
        <v>52</v>
      </c>
      <c r="B242" s="9" t="s">
        <v>23</v>
      </c>
      <c r="C242" s="10">
        <v>45994</v>
      </c>
      <c r="D242" s="10">
        <v>45994</v>
      </c>
      <c r="E242" s="9" t="s">
        <v>456</v>
      </c>
      <c r="F242" s="9" t="s">
        <v>32</v>
      </c>
      <c r="G242" s="9" t="s">
        <v>122</v>
      </c>
      <c r="H242" s="11">
        <v>9180.57</v>
      </c>
      <c r="I242" s="11">
        <v>9180.57</v>
      </c>
      <c r="J242" s="11">
        <v>0</v>
      </c>
      <c r="K242">
        <v>1</v>
      </c>
    </row>
    <row r="243" spans="1:11" x14ac:dyDescent="0.25">
      <c r="A243" s="9" t="s">
        <v>52</v>
      </c>
      <c r="B243" s="9" t="s">
        <v>23</v>
      </c>
      <c r="C243" s="10">
        <v>45994</v>
      </c>
      <c r="D243" s="10">
        <v>45994</v>
      </c>
      <c r="E243" s="9" t="s">
        <v>457</v>
      </c>
      <c r="F243" s="9" t="s">
        <v>32</v>
      </c>
      <c r="G243" s="9" t="s">
        <v>458</v>
      </c>
      <c r="H243" s="11">
        <v>4174.49</v>
      </c>
      <c r="I243" s="11">
        <v>4174.49</v>
      </c>
      <c r="J243" s="11">
        <v>0</v>
      </c>
      <c r="K243">
        <v>1</v>
      </c>
    </row>
    <row r="244" spans="1:11" x14ac:dyDescent="0.25">
      <c r="A244" s="9" t="s">
        <v>52</v>
      </c>
      <c r="B244" s="9" t="s">
        <v>23</v>
      </c>
      <c r="C244" s="10">
        <v>45994</v>
      </c>
      <c r="D244" s="10">
        <v>45994</v>
      </c>
      <c r="E244" s="9" t="s">
        <v>459</v>
      </c>
      <c r="F244" s="9" t="s">
        <v>32</v>
      </c>
      <c r="G244" s="9" t="s">
        <v>127</v>
      </c>
      <c r="H244" s="11">
        <v>3655.81</v>
      </c>
      <c r="I244" s="11">
        <v>3655.81</v>
      </c>
      <c r="J244" s="11">
        <v>0</v>
      </c>
      <c r="K244">
        <v>1</v>
      </c>
    </row>
    <row r="245" spans="1:11" x14ac:dyDescent="0.25">
      <c r="A245" s="9" t="s">
        <v>52</v>
      </c>
      <c r="B245" s="9" t="s">
        <v>23</v>
      </c>
      <c r="C245" s="10">
        <v>45994</v>
      </c>
      <c r="D245" s="10">
        <v>45994</v>
      </c>
      <c r="E245" s="9" t="s">
        <v>460</v>
      </c>
      <c r="F245" s="9" t="s">
        <v>32</v>
      </c>
      <c r="G245" s="9" t="s">
        <v>303</v>
      </c>
      <c r="H245" s="11">
        <v>8461.01</v>
      </c>
      <c r="I245" s="11">
        <v>8461.01</v>
      </c>
      <c r="J245" s="11">
        <v>0</v>
      </c>
      <c r="K245">
        <v>1</v>
      </c>
    </row>
    <row r="246" spans="1:11" x14ac:dyDescent="0.25">
      <c r="A246" s="9" t="s">
        <v>52</v>
      </c>
      <c r="B246" s="9" t="s">
        <v>23</v>
      </c>
      <c r="C246" s="10">
        <v>45994</v>
      </c>
      <c r="D246" s="10">
        <v>45994</v>
      </c>
      <c r="E246" s="9" t="s">
        <v>461</v>
      </c>
      <c r="F246" s="9" t="s">
        <v>141</v>
      </c>
      <c r="G246" s="9" t="s">
        <v>462</v>
      </c>
      <c r="H246" s="11">
        <v>-9713.84</v>
      </c>
      <c r="I246" s="11">
        <v>-9713.84</v>
      </c>
      <c r="J246" s="11">
        <v>0</v>
      </c>
      <c r="K246">
        <v>1</v>
      </c>
    </row>
    <row r="247" spans="1:11" x14ac:dyDescent="0.25">
      <c r="A247" s="9" t="s">
        <v>52</v>
      </c>
      <c r="B247" s="9" t="s">
        <v>23</v>
      </c>
      <c r="C247" s="10">
        <v>45994</v>
      </c>
      <c r="D247" s="10">
        <v>45994</v>
      </c>
      <c r="E247" s="9" t="s">
        <v>463</v>
      </c>
      <c r="F247" s="9" t="s">
        <v>32</v>
      </c>
      <c r="G247" s="9" t="s">
        <v>464</v>
      </c>
      <c r="H247" s="11">
        <v>5198.33</v>
      </c>
      <c r="I247" s="11">
        <v>5198.33</v>
      </c>
      <c r="J247" s="11">
        <v>0</v>
      </c>
      <c r="K247">
        <v>1</v>
      </c>
    </row>
    <row r="248" spans="1:11" x14ac:dyDescent="0.25">
      <c r="A248" s="9" t="s">
        <v>52</v>
      </c>
      <c r="B248" s="9" t="s">
        <v>23</v>
      </c>
      <c r="C248" s="10">
        <v>45994</v>
      </c>
      <c r="D248" s="10">
        <v>45994</v>
      </c>
      <c r="E248" s="9" t="s">
        <v>465</v>
      </c>
      <c r="F248" s="9" t="s">
        <v>32</v>
      </c>
      <c r="G248" s="9" t="s">
        <v>122</v>
      </c>
      <c r="H248" s="11">
        <v>1072.72</v>
      </c>
      <c r="I248" s="11">
        <v>1072.72</v>
      </c>
      <c r="J248" s="11">
        <v>0</v>
      </c>
      <c r="K248">
        <v>1</v>
      </c>
    </row>
    <row r="249" spans="1:11" x14ac:dyDescent="0.25">
      <c r="A249" s="9" t="s">
        <v>52</v>
      </c>
      <c r="B249" s="9" t="s">
        <v>23</v>
      </c>
      <c r="C249" s="10">
        <v>45994</v>
      </c>
      <c r="D249" s="10">
        <v>45994</v>
      </c>
      <c r="E249" s="9" t="s">
        <v>466</v>
      </c>
      <c r="F249" s="9" t="s">
        <v>32</v>
      </c>
      <c r="G249" s="9" t="s">
        <v>279</v>
      </c>
      <c r="H249" s="11">
        <v>5505.97</v>
      </c>
      <c r="I249" s="11">
        <v>5505.97</v>
      </c>
      <c r="J249" s="11">
        <v>0</v>
      </c>
      <c r="K249">
        <v>1</v>
      </c>
    </row>
    <row r="250" spans="1:11" x14ac:dyDescent="0.25">
      <c r="A250" s="9" t="s">
        <v>52</v>
      </c>
      <c r="B250" s="9" t="s">
        <v>55</v>
      </c>
      <c r="C250" s="10">
        <v>45995</v>
      </c>
      <c r="D250" s="10">
        <v>45995</v>
      </c>
      <c r="E250" s="9" t="s">
        <v>467</v>
      </c>
      <c r="F250" s="9" t="s">
        <v>57</v>
      </c>
      <c r="G250" s="9" t="s">
        <v>400</v>
      </c>
      <c r="H250" s="11">
        <v>5044.88</v>
      </c>
      <c r="I250" s="11">
        <v>5044.88</v>
      </c>
      <c r="J250" s="11">
        <v>0</v>
      </c>
      <c r="K250">
        <v>1</v>
      </c>
    </row>
    <row r="251" spans="1:11" x14ac:dyDescent="0.25">
      <c r="A251" s="9" t="s">
        <v>52</v>
      </c>
      <c r="B251" s="9" t="s">
        <v>23</v>
      </c>
      <c r="C251" s="10">
        <v>45995</v>
      </c>
      <c r="D251" s="10">
        <v>45995</v>
      </c>
      <c r="E251" s="9" t="s">
        <v>468</v>
      </c>
      <c r="F251" s="9" t="s">
        <v>32</v>
      </c>
      <c r="G251" s="9" t="s">
        <v>469</v>
      </c>
      <c r="H251" s="11">
        <v>4130.4399999999996</v>
      </c>
      <c r="I251" s="11">
        <v>4130.4399999999996</v>
      </c>
      <c r="J251" s="11">
        <v>0</v>
      </c>
      <c r="K251">
        <v>1</v>
      </c>
    </row>
    <row r="252" spans="1:11" x14ac:dyDescent="0.25">
      <c r="A252" s="9" t="s">
        <v>52</v>
      </c>
      <c r="B252" s="9" t="s">
        <v>23</v>
      </c>
      <c r="C252" s="10">
        <v>45995</v>
      </c>
      <c r="D252" s="10">
        <v>45995</v>
      </c>
      <c r="E252" s="9" t="s">
        <v>470</v>
      </c>
      <c r="F252" s="9" t="s">
        <v>32</v>
      </c>
      <c r="G252" s="9" t="s">
        <v>307</v>
      </c>
      <c r="H252" s="11">
        <v>3663.59</v>
      </c>
      <c r="I252" s="11">
        <v>3663.59</v>
      </c>
      <c r="J252" s="11">
        <v>0</v>
      </c>
      <c r="K252">
        <v>1</v>
      </c>
    </row>
    <row r="253" spans="1:11" x14ac:dyDescent="0.25">
      <c r="A253" s="9" t="s">
        <v>52</v>
      </c>
      <c r="B253" s="9" t="s">
        <v>23</v>
      </c>
      <c r="C253" s="10">
        <v>45995</v>
      </c>
      <c r="D253" s="10">
        <v>45995</v>
      </c>
      <c r="E253" s="9" t="s">
        <v>471</v>
      </c>
      <c r="F253" s="9" t="s">
        <v>32</v>
      </c>
      <c r="G253" s="9" t="s">
        <v>243</v>
      </c>
      <c r="H253" s="11">
        <v>20550.22</v>
      </c>
      <c r="I253" s="11">
        <v>20550.22</v>
      </c>
      <c r="J253" s="11">
        <v>0</v>
      </c>
      <c r="K253">
        <v>1</v>
      </c>
    </row>
    <row r="254" spans="1:11" x14ac:dyDescent="0.25">
      <c r="A254" s="9" t="s">
        <v>52</v>
      </c>
      <c r="B254" s="9" t="s">
        <v>23</v>
      </c>
      <c r="C254" s="10">
        <v>45995</v>
      </c>
      <c r="D254" s="10">
        <v>45995</v>
      </c>
      <c r="E254" s="9" t="s">
        <v>472</v>
      </c>
      <c r="F254" s="9" t="s">
        <v>32</v>
      </c>
      <c r="G254" s="9" t="s">
        <v>252</v>
      </c>
      <c r="H254" s="11">
        <v>4897.8100000000004</v>
      </c>
      <c r="I254" s="11">
        <v>4897.8100000000004</v>
      </c>
      <c r="J254" s="11">
        <v>0</v>
      </c>
      <c r="K254">
        <v>1</v>
      </c>
    </row>
    <row r="255" spans="1:11" x14ac:dyDescent="0.25">
      <c r="A255" s="9" t="s">
        <v>52</v>
      </c>
      <c r="B255" s="9" t="s">
        <v>23</v>
      </c>
      <c r="C255" s="10">
        <v>45995</v>
      </c>
      <c r="D255" s="10">
        <v>45995</v>
      </c>
      <c r="E255" s="9" t="s">
        <v>473</v>
      </c>
      <c r="F255" s="9" t="s">
        <v>32</v>
      </c>
      <c r="G255" s="9" t="s">
        <v>474</v>
      </c>
      <c r="H255" s="11">
        <v>6008.36</v>
      </c>
      <c r="I255" s="11">
        <v>6008.36</v>
      </c>
      <c r="J255" s="11">
        <v>0</v>
      </c>
      <c r="K255">
        <v>1</v>
      </c>
    </row>
    <row r="256" spans="1:11" x14ac:dyDescent="0.25">
      <c r="A256" s="9" t="s">
        <v>52</v>
      </c>
      <c r="B256" s="9" t="s">
        <v>23</v>
      </c>
      <c r="C256" s="10">
        <v>45995</v>
      </c>
      <c r="D256" s="10">
        <v>45995</v>
      </c>
      <c r="E256" s="9" t="s">
        <v>475</v>
      </c>
      <c r="F256" s="9" t="s">
        <v>32</v>
      </c>
      <c r="G256" s="9" t="s">
        <v>339</v>
      </c>
      <c r="H256" s="11">
        <v>770.84</v>
      </c>
      <c r="I256" s="11">
        <v>770.84</v>
      </c>
      <c r="J256" s="11">
        <v>0</v>
      </c>
      <c r="K256">
        <v>1</v>
      </c>
    </row>
    <row r="257" spans="1:11" x14ac:dyDescent="0.25">
      <c r="A257" s="9" t="s">
        <v>52</v>
      </c>
      <c r="B257" s="9" t="s">
        <v>23</v>
      </c>
      <c r="C257" s="10">
        <v>45995</v>
      </c>
      <c r="D257" s="10">
        <v>45995</v>
      </c>
      <c r="E257" s="9" t="s">
        <v>476</v>
      </c>
      <c r="F257" s="9" t="s">
        <v>32</v>
      </c>
      <c r="G257" s="9" t="s">
        <v>33</v>
      </c>
      <c r="H257" s="11">
        <v>17387.150000000001</v>
      </c>
      <c r="I257" s="11">
        <v>17387.150000000001</v>
      </c>
      <c r="J257" s="11">
        <v>0</v>
      </c>
      <c r="K257">
        <v>1</v>
      </c>
    </row>
    <row r="258" spans="1:11" x14ac:dyDescent="0.25">
      <c r="A258" s="9" t="s">
        <v>52</v>
      </c>
      <c r="B258" s="9" t="s">
        <v>23</v>
      </c>
      <c r="C258" s="10">
        <v>45995</v>
      </c>
      <c r="D258" s="10">
        <v>45995</v>
      </c>
      <c r="E258" s="9" t="s">
        <v>477</v>
      </c>
      <c r="F258" s="9" t="s">
        <v>32</v>
      </c>
      <c r="G258" s="9" t="s">
        <v>367</v>
      </c>
      <c r="H258" s="11">
        <v>1113.21</v>
      </c>
      <c r="I258" s="11">
        <v>1113.21</v>
      </c>
      <c r="J258" s="11">
        <v>0</v>
      </c>
      <c r="K258">
        <v>1</v>
      </c>
    </row>
    <row r="259" spans="1:11" x14ac:dyDescent="0.25">
      <c r="A259" s="9" t="s">
        <v>52</v>
      </c>
      <c r="B259" s="9" t="s">
        <v>23</v>
      </c>
      <c r="C259" s="10">
        <v>45995</v>
      </c>
      <c r="D259" s="10">
        <v>45995</v>
      </c>
      <c r="E259" s="9" t="s">
        <v>478</v>
      </c>
      <c r="F259" s="9" t="s">
        <v>32</v>
      </c>
      <c r="G259" s="9" t="s">
        <v>479</v>
      </c>
      <c r="H259" s="11">
        <v>1023.54</v>
      </c>
      <c r="I259" s="11">
        <v>1023.54</v>
      </c>
      <c r="J259" s="11">
        <v>0</v>
      </c>
      <c r="K259">
        <v>1</v>
      </c>
    </row>
    <row r="260" spans="1:11" x14ac:dyDescent="0.25">
      <c r="A260" s="9" t="s">
        <v>52</v>
      </c>
      <c r="B260" s="9" t="s">
        <v>23</v>
      </c>
      <c r="C260" s="10">
        <v>45995</v>
      </c>
      <c r="D260" s="10">
        <v>45995</v>
      </c>
      <c r="E260" s="9" t="s">
        <v>480</v>
      </c>
      <c r="F260" s="9" t="s">
        <v>32</v>
      </c>
      <c r="G260" s="9" t="s">
        <v>481</v>
      </c>
      <c r="H260" s="11">
        <v>987.23</v>
      </c>
      <c r="I260" s="11">
        <v>987.23</v>
      </c>
      <c r="J260" s="11">
        <v>0</v>
      </c>
      <c r="K260">
        <v>1</v>
      </c>
    </row>
    <row r="261" spans="1:11" x14ac:dyDescent="0.25">
      <c r="A261" s="9" t="s">
        <v>52</v>
      </c>
      <c r="B261" s="9" t="s">
        <v>23</v>
      </c>
      <c r="C261" s="10">
        <v>45995</v>
      </c>
      <c r="D261" s="10">
        <v>45995</v>
      </c>
      <c r="E261" s="9" t="s">
        <v>482</v>
      </c>
      <c r="F261" s="9" t="s">
        <v>32</v>
      </c>
      <c r="G261" s="9" t="s">
        <v>483</v>
      </c>
      <c r="H261" s="11">
        <v>4240.07</v>
      </c>
      <c r="I261" s="11">
        <v>4240.07</v>
      </c>
      <c r="J261" s="11">
        <v>0</v>
      </c>
      <c r="K261">
        <v>1</v>
      </c>
    </row>
    <row r="262" spans="1:11" x14ac:dyDescent="0.25">
      <c r="A262" s="9" t="s">
        <v>52</v>
      </c>
      <c r="B262" s="9" t="s">
        <v>23</v>
      </c>
      <c r="C262" s="10">
        <v>45995</v>
      </c>
      <c r="D262" s="10">
        <v>45995</v>
      </c>
      <c r="E262" s="9" t="s">
        <v>484</v>
      </c>
      <c r="F262" s="9" t="s">
        <v>32</v>
      </c>
      <c r="G262" s="9" t="s">
        <v>485</v>
      </c>
      <c r="H262" s="11">
        <v>1397.76</v>
      </c>
      <c r="I262" s="11">
        <v>1397.76</v>
      </c>
      <c r="J262" s="11">
        <v>0</v>
      </c>
      <c r="K262">
        <v>1</v>
      </c>
    </row>
    <row r="263" spans="1:11" x14ac:dyDescent="0.25">
      <c r="A263" s="9" t="s">
        <v>52</v>
      </c>
      <c r="B263" s="9" t="s">
        <v>23</v>
      </c>
      <c r="C263" s="10">
        <v>45995</v>
      </c>
      <c r="D263" s="10">
        <v>45995</v>
      </c>
      <c r="E263" s="9" t="s">
        <v>486</v>
      </c>
      <c r="F263" s="9" t="s">
        <v>32</v>
      </c>
      <c r="G263" s="9" t="s">
        <v>256</v>
      </c>
      <c r="H263" s="11">
        <v>1432.62</v>
      </c>
      <c r="I263" s="11">
        <v>1432.62</v>
      </c>
      <c r="J263" s="11">
        <v>0</v>
      </c>
      <c r="K263">
        <v>1</v>
      </c>
    </row>
    <row r="264" spans="1:11" x14ac:dyDescent="0.25">
      <c r="A264" s="9" t="s">
        <v>52</v>
      </c>
      <c r="B264" s="9" t="s">
        <v>23</v>
      </c>
      <c r="C264" s="10">
        <v>45995</v>
      </c>
      <c r="D264" s="10">
        <v>45995</v>
      </c>
      <c r="E264" s="9" t="s">
        <v>487</v>
      </c>
      <c r="F264" s="9" t="s">
        <v>32</v>
      </c>
      <c r="G264" s="9" t="s">
        <v>488</v>
      </c>
      <c r="H264" s="11">
        <v>2912.38</v>
      </c>
      <c r="I264" s="11">
        <v>2912.38</v>
      </c>
      <c r="J264" s="11">
        <v>0</v>
      </c>
      <c r="K264">
        <v>1</v>
      </c>
    </row>
    <row r="265" spans="1:11" x14ac:dyDescent="0.25">
      <c r="A265" s="9" t="s">
        <v>52</v>
      </c>
      <c r="B265" s="9" t="s">
        <v>23</v>
      </c>
      <c r="C265" s="10">
        <v>45995</v>
      </c>
      <c r="D265" s="10">
        <v>45995</v>
      </c>
      <c r="E265" s="9" t="s">
        <v>489</v>
      </c>
      <c r="F265" s="9" t="s">
        <v>32</v>
      </c>
      <c r="G265" s="9" t="s">
        <v>104</v>
      </c>
      <c r="H265" s="11">
        <v>2274.7399999999998</v>
      </c>
      <c r="I265" s="11">
        <v>2274.7399999999998</v>
      </c>
      <c r="J265" s="11">
        <v>0</v>
      </c>
      <c r="K265">
        <v>1</v>
      </c>
    </row>
    <row r="266" spans="1:11" x14ac:dyDescent="0.25">
      <c r="A266" s="9" t="s">
        <v>52</v>
      </c>
      <c r="B266" s="9" t="s">
        <v>23</v>
      </c>
      <c r="C266" s="10">
        <v>45995</v>
      </c>
      <c r="D266" s="10">
        <v>45995</v>
      </c>
      <c r="E266" s="9" t="s">
        <v>490</v>
      </c>
      <c r="F266" s="9" t="s">
        <v>32</v>
      </c>
      <c r="G266" s="9" t="s">
        <v>491</v>
      </c>
      <c r="H266" s="11">
        <v>2953.22</v>
      </c>
      <c r="I266" s="11">
        <v>2953.22</v>
      </c>
      <c r="J266" s="11">
        <v>0</v>
      </c>
      <c r="K266">
        <v>1</v>
      </c>
    </row>
    <row r="267" spans="1:11" x14ac:dyDescent="0.25">
      <c r="A267" s="9" t="s">
        <v>52</v>
      </c>
      <c r="B267" s="9" t="s">
        <v>23</v>
      </c>
      <c r="C267" s="10">
        <v>45995</v>
      </c>
      <c r="D267" s="10">
        <v>45995</v>
      </c>
      <c r="E267" s="9" t="s">
        <v>492</v>
      </c>
      <c r="F267" s="9" t="s">
        <v>32</v>
      </c>
      <c r="G267" s="9" t="s">
        <v>200</v>
      </c>
      <c r="H267" s="11">
        <v>2243.7800000000002</v>
      </c>
      <c r="I267" s="11">
        <v>2243.7800000000002</v>
      </c>
      <c r="J267" s="11">
        <v>0</v>
      </c>
      <c r="K267">
        <v>1</v>
      </c>
    </row>
    <row r="268" spans="1:11" x14ac:dyDescent="0.25">
      <c r="A268" s="9" t="s">
        <v>52</v>
      </c>
      <c r="B268" s="9" t="s">
        <v>23</v>
      </c>
      <c r="C268" s="10">
        <v>45995</v>
      </c>
      <c r="D268" s="10">
        <v>45995</v>
      </c>
      <c r="E268" s="9" t="s">
        <v>493</v>
      </c>
      <c r="F268" s="9" t="s">
        <v>32</v>
      </c>
      <c r="G268" s="9" t="s">
        <v>494</v>
      </c>
      <c r="H268" s="11">
        <v>3099.96</v>
      </c>
      <c r="I268" s="11">
        <v>3099.96</v>
      </c>
      <c r="J268" s="11">
        <v>0</v>
      </c>
      <c r="K268">
        <v>1</v>
      </c>
    </row>
    <row r="269" spans="1:11" x14ac:dyDescent="0.25">
      <c r="A269" s="9" t="s">
        <v>52</v>
      </c>
      <c r="B269" s="9" t="s">
        <v>23</v>
      </c>
      <c r="C269" s="10">
        <v>45995</v>
      </c>
      <c r="D269" s="10">
        <v>45995</v>
      </c>
      <c r="E269" s="9" t="s">
        <v>495</v>
      </c>
      <c r="F269" s="9" t="s">
        <v>32</v>
      </c>
      <c r="G269" s="9" t="s">
        <v>496</v>
      </c>
      <c r="H269" s="11">
        <v>3178.91</v>
      </c>
      <c r="I269" s="11">
        <v>3178.91</v>
      </c>
      <c r="J269" s="11">
        <v>0</v>
      </c>
      <c r="K269">
        <v>1</v>
      </c>
    </row>
    <row r="270" spans="1:11" x14ac:dyDescent="0.25">
      <c r="A270" s="9" t="s">
        <v>52</v>
      </c>
      <c r="B270" s="9" t="s">
        <v>23</v>
      </c>
      <c r="C270" s="10">
        <v>45995</v>
      </c>
      <c r="D270" s="10">
        <v>45995</v>
      </c>
      <c r="E270" s="9" t="s">
        <v>497</v>
      </c>
      <c r="F270" s="9" t="s">
        <v>32</v>
      </c>
      <c r="G270" s="9" t="s">
        <v>498</v>
      </c>
      <c r="H270" s="11">
        <v>1867.12</v>
      </c>
      <c r="I270" s="11">
        <v>1867.12</v>
      </c>
      <c r="J270" s="11">
        <v>0</v>
      </c>
      <c r="K270">
        <v>1</v>
      </c>
    </row>
    <row r="271" spans="1:11" x14ac:dyDescent="0.25">
      <c r="A271" s="9" t="s">
        <v>52</v>
      </c>
      <c r="B271" s="9" t="s">
        <v>23</v>
      </c>
      <c r="C271" s="10">
        <v>45995</v>
      </c>
      <c r="D271" s="10">
        <v>45995</v>
      </c>
      <c r="E271" s="9" t="s">
        <v>499</v>
      </c>
      <c r="F271" s="9" t="s">
        <v>32</v>
      </c>
      <c r="G271" s="9" t="s">
        <v>84</v>
      </c>
      <c r="H271" s="11">
        <v>3672.9</v>
      </c>
      <c r="I271" s="11">
        <v>3672.9</v>
      </c>
      <c r="J271" s="11">
        <v>0</v>
      </c>
      <c r="K271">
        <v>1</v>
      </c>
    </row>
    <row r="272" spans="1:11" x14ac:dyDescent="0.25">
      <c r="A272" s="9" t="s">
        <v>52</v>
      </c>
      <c r="B272" s="9" t="s">
        <v>23</v>
      </c>
      <c r="C272" s="10">
        <v>45995</v>
      </c>
      <c r="D272" s="10">
        <v>45995</v>
      </c>
      <c r="E272" s="9" t="s">
        <v>500</v>
      </c>
      <c r="F272" s="9" t="s">
        <v>32</v>
      </c>
      <c r="G272" s="9" t="s">
        <v>501</v>
      </c>
      <c r="H272" s="11">
        <v>1700.4</v>
      </c>
      <c r="I272" s="11">
        <v>1700.4</v>
      </c>
      <c r="J272" s="11">
        <v>0</v>
      </c>
      <c r="K272">
        <v>1</v>
      </c>
    </row>
    <row r="273" spans="1:11" x14ac:dyDescent="0.25">
      <c r="A273" s="9" t="s">
        <v>52</v>
      </c>
      <c r="B273" s="9" t="s">
        <v>23</v>
      </c>
      <c r="C273" s="10">
        <v>45995</v>
      </c>
      <c r="D273" s="10">
        <v>45995</v>
      </c>
      <c r="E273" s="9" t="s">
        <v>502</v>
      </c>
      <c r="F273" s="9" t="s">
        <v>32</v>
      </c>
      <c r="G273" s="9" t="s">
        <v>264</v>
      </c>
      <c r="H273" s="11">
        <v>9116.7800000000007</v>
      </c>
      <c r="I273" s="11">
        <v>9116.7800000000007</v>
      </c>
      <c r="J273" s="11">
        <v>0</v>
      </c>
      <c r="K273">
        <v>1</v>
      </c>
    </row>
    <row r="274" spans="1:11" x14ac:dyDescent="0.25">
      <c r="A274" s="9" t="s">
        <v>52</v>
      </c>
      <c r="B274" s="9" t="s">
        <v>23</v>
      </c>
      <c r="C274" s="10">
        <v>45995</v>
      </c>
      <c r="D274" s="10">
        <v>45995</v>
      </c>
      <c r="E274" s="9" t="s">
        <v>503</v>
      </c>
      <c r="F274" s="9" t="s">
        <v>32</v>
      </c>
      <c r="G274" s="9" t="s">
        <v>110</v>
      </c>
      <c r="H274" s="11">
        <v>1600.63</v>
      </c>
      <c r="I274" s="11">
        <v>1600.63</v>
      </c>
      <c r="J274" s="11">
        <v>0</v>
      </c>
      <c r="K274">
        <v>1</v>
      </c>
    </row>
    <row r="275" spans="1:11" x14ac:dyDescent="0.25">
      <c r="A275" s="9" t="s">
        <v>52</v>
      </c>
      <c r="B275" s="9" t="s">
        <v>23</v>
      </c>
      <c r="C275" s="10">
        <v>45995</v>
      </c>
      <c r="D275" s="10">
        <v>45995</v>
      </c>
      <c r="E275" s="9" t="s">
        <v>504</v>
      </c>
      <c r="F275" s="9" t="s">
        <v>32</v>
      </c>
      <c r="G275" s="9" t="s">
        <v>190</v>
      </c>
      <c r="H275" s="11">
        <v>2775.44</v>
      </c>
      <c r="I275" s="11">
        <v>2775.44</v>
      </c>
      <c r="J275" s="11">
        <v>0</v>
      </c>
      <c r="K275">
        <v>1</v>
      </c>
    </row>
    <row r="276" spans="1:11" x14ac:dyDescent="0.25">
      <c r="A276" s="9" t="s">
        <v>52</v>
      </c>
      <c r="B276" s="9" t="s">
        <v>23</v>
      </c>
      <c r="C276" s="10">
        <v>45995</v>
      </c>
      <c r="D276" s="10">
        <v>45995</v>
      </c>
      <c r="E276" s="9" t="s">
        <v>505</v>
      </c>
      <c r="F276" s="9" t="s">
        <v>32</v>
      </c>
      <c r="G276" s="9" t="s">
        <v>506</v>
      </c>
      <c r="H276" s="11">
        <v>1523.95</v>
      </c>
      <c r="I276" s="11">
        <v>1523.95</v>
      </c>
      <c r="J276" s="11">
        <v>0</v>
      </c>
      <c r="K276">
        <v>1</v>
      </c>
    </row>
    <row r="277" spans="1:11" x14ac:dyDescent="0.25">
      <c r="A277" s="9" t="s">
        <v>52</v>
      </c>
      <c r="B277" s="9" t="s">
        <v>23</v>
      </c>
      <c r="C277" s="10">
        <v>45995</v>
      </c>
      <c r="D277" s="10">
        <v>45995</v>
      </c>
      <c r="E277" s="9" t="s">
        <v>507</v>
      </c>
      <c r="F277" s="9" t="s">
        <v>32</v>
      </c>
      <c r="G277" s="9" t="s">
        <v>226</v>
      </c>
      <c r="H277" s="11">
        <v>4832.22</v>
      </c>
      <c r="I277" s="11">
        <v>4832.22</v>
      </c>
      <c r="J277" s="11">
        <v>0</v>
      </c>
      <c r="K277">
        <v>1</v>
      </c>
    </row>
    <row r="278" spans="1:11" x14ac:dyDescent="0.25">
      <c r="A278" s="9" t="s">
        <v>52</v>
      </c>
      <c r="B278" s="9" t="s">
        <v>23</v>
      </c>
      <c r="C278" s="10">
        <v>45995</v>
      </c>
      <c r="D278" s="10">
        <v>45995</v>
      </c>
      <c r="E278" s="9" t="s">
        <v>508</v>
      </c>
      <c r="F278" s="9" t="s">
        <v>32</v>
      </c>
      <c r="G278" s="9" t="s">
        <v>509</v>
      </c>
      <c r="H278" s="11">
        <v>1504.12</v>
      </c>
      <c r="I278" s="11">
        <v>1504.12</v>
      </c>
      <c r="J278" s="11">
        <v>0</v>
      </c>
      <c r="K278">
        <v>1</v>
      </c>
    </row>
    <row r="279" spans="1:11" x14ac:dyDescent="0.25">
      <c r="A279" s="9" t="s">
        <v>52</v>
      </c>
      <c r="B279" s="9" t="s">
        <v>23</v>
      </c>
      <c r="C279" s="10">
        <v>45995</v>
      </c>
      <c r="D279" s="10">
        <v>45995</v>
      </c>
      <c r="E279" s="9" t="s">
        <v>510</v>
      </c>
      <c r="F279" s="9" t="s">
        <v>32</v>
      </c>
      <c r="G279" s="9" t="s">
        <v>309</v>
      </c>
      <c r="H279" s="11">
        <v>4711.3999999999996</v>
      </c>
      <c r="I279" s="11">
        <v>4711.3999999999996</v>
      </c>
      <c r="J279" s="11">
        <v>0</v>
      </c>
      <c r="K279">
        <v>1</v>
      </c>
    </row>
    <row r="280" spans="1:11" x14ac:dyDescent="0.25">
      <c r="A280" s="9" t="s">
        <v>52</v>
      </c>
      <c r="B280" s="9" t="s">
        <v>23</v>
      </c>
      <c r="C280" s="10">
        <v>45995</v>
      </c>
      <c r="D280" s="10">
        <v>45995</v>
      </c>
      <c r="E280" s="9" t="s">
        <v>511</v>
      </c>
      <c r="F280" s="9" t="s">
        <v>32</v>
      </c>
      <c r="G280" s="9" t="s">
        <v>131</v>
      </c>
      <c r="H280" s="11">
        <v>4872.6899999999996</v>
      </c>
      <c r="I280" s="11">
        <v>4872.6899999999996</v>
      </c>
      <c r="J280" s="11">
        <v>0</v>
      </c>
      <c r="K280">
        <v>1</v>
      </c>
    </row>
    <row r="281" spans="1:11" x14ac:dyDescent="0.25">
      <c r="A281" s="9" t="s">
        <v>52</v>
      </c>
      <c r="B281" s="9" t="s">
        <v>23</v>
      </c>
      <c r="C281" s="10">
        <v>45995</v>
      </c>
      <c r="D281" s="10">
        <v>45995</v>
      </c>
      <c r="E281" s="9" t="s">
        <v>512</v>
      </c>
      <c r="F281" s="9" t="s">
        <v>32</v>
      </c>
      <c r="G281" s="9" t="s">
        <v>379</v>
      </c>
      <c r="H281" s="11">
        <v>2324.96</v>
      </c>
      <c r="I281" s="11">
        <v>2324.96</v>
      </c>
      <c r="J281" s="11">
        <v>0</v>
      </c>
      <c r="K281">
        <v>1</v>
      </c>
    </row>
    <row r="282" spans="1:11" x14ac:dyDescent="0.25">
      <c r="A282" s="9" t="s">
        <v>52</v>
      </c>
      <c r="B282" s="9" t="s">
        <v>23</v>
      </c>
      <c r="C282" s="10">
        <v>45995</v>
      </c>
      <c r="D282" s="10">
        <v>45995</v>
      </c>
      <c r="E282" s="9" t="s">
        <v>513</v>
      </c>
      <c r="F282" s="9" t="s">
        <v>32</v>
      </c>
      <c r="G282" s="9" t="s">
        <v>514</v>
      </c>
      <c r="H282" s="11">
        <v>7874.86</v>
      </c>
      <c r="I282" s="11">
        <v>7874.86</v>
      </c>
      <c r="J282" s="11">
        <v>0</v>
      </c>
      <c r="K282">
        <v>1</v>
      </c>
    </row>
    <row r="283" spans="1:11" x14ac:dyDescent="0.25">
      <c r="A283" s="9" t="s">
        <v>52</v>
      </c>
      <c r="B283" s="9" t="s">
        <v>23</v>
      </c>
      <c r="C283" s="10">
        <v>45995</v>
      </c>
      <c r="D283" s="10">
        <v>45995</v>
      </c>
      <c r="E283" s="9" t="s">
        <v>515</v>
      </c>
      <c r="F283" s="9" t="s">
        <v>32</v>
      </c>
      <c r="G283" s="9" t="s">
        <v>516</v>
      </c>
      <c r="H283" s="11">
        <v>537.09</v>
      </c>
      <c r="I283" s="11">
        <v>537.09</v>
      </c>
      <c r="J283" s="11">
        <v>0</v>
      </c>
      <c r="K283">
        <v>1</v>
      </c>
    </row>
    <row r="284" spans="1:11" x14ac:dyDescent="0.25">
      <c r="A284" s="9" t="s">
        <v>52</v>
      </c>
      <c r="B284" s="9" t="s">
        <v>23</v>
      </c>
      <c r="C284" s="10">
        <v>45995</v>
      </c>
      <c r="D284" s="10">
        <v>45995</v>
      </c>
      <c r="E284" s="9" t="s">
        <v>517</v>
      </c>
      <c r="F284" s="9" t="s">
        <v>32</v>
      </c>
      <c r="G284" s="9" t="s">
        <v>518</v>
      </c>
      <c r="H284" s="11">
        <v>694.57</v>
      </c>
      <c r="I284" s="11">
        <v>694.57</v>
      </c>
      <c r="J284" s="11">
        <v>0</v>
      </c>
      <c r="K284">
        <v>1</v>
      </c>
    </row>
    <row r="285" spans="1:11" x14ac:dyDescent="0.25">
      <c r="A285" s="9" t="s">
        <v>52</v>
      </c>
      <c r="B285" s="9" t="s">
        <v>23</v>
      </c>
      <c r="C285" s="10">
        <v>45995</v>
      </c>
      <c r="D285" s="10">
        <v>45995</v>
      </c>
      <c r="E285" s="9" t="s">
        <v>519</v>
      </c>
      <c r="F285" s="9" t="s">
        <v>32</v>
      </c>
      <c r="G285" s="9" t="s">
        <v>520</v>
      </c>
      <c r="H285" s="11">
        <v>552.09</v>
      </c>
      <c r="I285" s="11">
        <v>552.09</v>
      </c>
      <c r="J285" s="11">
        <v>0</v>
      </c>
      <c r="K285">
        <v>1</v>
      </c>
    </row>
    <row r="286" spans="1:11" x14ac:dyDescent="0.25">
      <c r="A286" s="9" t="s">
        <v>52</v>
      </c>
      <c r="B286" s="9" t="s">
        <v>23</v>
      </c>
      <c r="C286" s="10">
        <v>45995</v>
      </c>
      <c r="D286" s="10">
        <v>45995</v>
      </c>
      <c r="E286" s="9" t="s">
        <v>521</v>
      </c>
      <c r="F286" s="9" t="s">
        <v>32</v>
      </c>
      <c r="G286" s="9" t="s">
        <v>133</v>
      </c>
      <c r="H286" s="11">
        <v>10184.299999999999</v>
      </c>
      <c r="I286" s="11">
        <v>10184.299999999999</v>
      </c>
      <c r="J286" s="11">
        <v>0</v>
      </c>
      <c r="K286">
        <v>1</v>
      </c>
    </row>
    <row r="287" spans="1:11" x14ac:dyDescent="0.25">
      <c r="A287" s="9" t="s">
        <v>52</v>
      </c>
      <c r="B287" s="9" t="s">
        <v>23</v>
      </c>
      <c r="C287" s="10">
        <v>45995</v>
      </c>
      <c r="D287" s="10">
        <v>45995</v>
      </c>
      <c r="E287" s="9" t="s">
        <v>522</v>
      </c>
      <c r="F287" s="9" t="s">
        <v>32</v>
      </c>
      <c r="G287" s="9" t="s">
        <v>270</v>
      </c>
      <c r="H287" s="11">
        <v>3578.17</v>
      </c>
      <c r="I287" s="11">
        <v>3578.17</v>
      </c>
      <c r="J287" s="11">
        <v>0</v>
      </c>
      <c r="K287">
        <v>1</v>
      </c>
    </row>
    <row r="288" spans="1:11" x14ac:dyDescent="0.25">
      <c r="A288" s="9" t="s">
        <v>52</v>
      </c>
      <c r="B288" s="9" t="s">
        <v>23</v>
      </c>
      <c r="C288" s="10">
        <v>45995</v>
      </c>
      <c r="D288" s="10">
        <v>45995</v>
      </c>
      <c r="E288" s="9" t="s">
        <v>523</v>
      </c>
      <c r="F288" s="9" t="s">
        <v>141</v>
      </c>
      <c r="G288" s="9" t="s">
        <v>524</v>
      </c>
      <c r="H288" s="11">
        <v>-16588.599999999999</v>
      </c>
      <c r="I288" s="11">
        <v>-16588.599999999999</v>
      </c>
      <c r="J288" s="11">
        <v>0</v>
      </c>
      <c r="K288">
        <v>1</v>
      </c>
    </row>
    <row r="289" spans="1:11" x14ac:dyDescent="0.25">
      <c r="A289" s="9" t="s">
        <v>52</v>
      </c>
      <c r="B289" s="9" t="s">
        <v>23</v>
      </c>
      <c r="C289" s="10">
        <v>45995</v>
      </c>
      <c r="D289" s="10">
        <v>45995</v>
      </c>
      <c r="E289" s="9" t="s">
        <v>525</v>
      </c>
      <c r="F289" s="9" t="s">
        <v>141</v>
      </c>
      <c r="G289" s="9" t="s">
        <v>526</v>
      </c>
      <c r="H289" s="11">
        <v>-25808.49</v>
      </c>
      <c r="I289" s="11">
        <v>-25808.49</v>
      </c>
      <c r="J289" s="11">
        <v>0</v>
      </c>
      <c r="K289">
        <v>1</v>
      </c>
    </row>
    <row r="290" spans="1:11" x14ac:dyDescent="0.25">
      <c r="A290" s="9" t="s">
        <v>52</v>
      </c>
      <c r="B290" s="9" t="s">
        <v>23</v>
      </c>
      <c r="C290" s="10">
        <v>45995</v>
      </c>
      <c r="D290" s="10">
        <v>45995</v>
      </c>
      <c r="E290" s="9" t="s">
        <v>527</v>
      </c>
      <c r="F290" s="9" t="s">
        <v>141</v>
      </c>
      <c r="G290" s="9" t="s">
        <v>528</v>
      </c>
      <c r="H290" s="11">
        <v>-37729.72</v>
      </c>
      <c r="I290" s="11">
        <v>-37729.72</v>
      </c>
      <c r="J290" s="11">
        <v>0</v>
      </c>
      <c r="K290">
        <v>1</v>
      </c>
    </row>
    <row r="291" spans="1:11" x14ac:dyDescent="0.25">
      <c r="A291" s="9" t="s">
        <v>52</v>
      </c>
      <c r="B291" s="9" t="s">
        <v>23</v>
      </c>
      <c r="C291" s="10">
        <v>45995</v>
      </c>
      <c r="D291" s="10">
        <v>45995</v>
      </c>
      <c r="E291" s="9" t="s">
        <v>529</v>
      </c>
      <c r="F291" s="9" t="s">
        <v>32</v>
      </c>
      <c r="G291" s="9" t="s">
        <v>364</v>
      </c>
      <c r="H291" s="11">
        <v>6763.71</v>
      </c>
      <c r="I291" s="11">
        <v>6763.71</v>
      </c>
      <c r="J291" s="11">
        <v>0</v>
      </c>
      <c r="K291">
        <v>1</v>
      </c>
    </row>
    <row r="292" spans="1:11" x14ac:dyDescent="0.25">
      <c r="A292" s="9" t="s">
        <v>52</v>
      </c>
      <c r="B292" s="9" t="s">
        <v>23</v>
      </c>
      <c r="C292" s="10">
        <v>45996</v>
      </c>
      <c r="D292" s="10">
        <v>45996</v>
      </c>
      <c r="E292" s="9" t="s">
        <v>530</v>
      </c>
      <c r="F292" s="9" t="s">
        <v>32</v>
      </c>
      <c r="G292" s="9" t="s">
        <v>531</v>
      </c>
      <c r="H292" s="11">
        <v>1572.52</v>
      </c>
      <c r="I292" s="11">
        <v>1572.52</v>
      </c>
      <c r="J292" s="11">
        <v>0</v>
      </c>
      <c r="K292">
        <v>1</v>
      </c>
    </row>
    <row r="293" spans="1:11" x14ac:dyDescent="0.25">
      <c r="A293" s="9" t="s">
        <v>52</v>
      </c>
      <c r="B293" s="9" t="s">
        <v>23</v>
      </c>
      <c r="C293" s="10">
        <v>45996</v>
      </c>
      <c r="D293" s="10">
        <v>45996</v>
      </c>
      <c r="E293" s="9" t="s">
        <v>532</v>
      </c>
      <c r="F293" s="9" t="s">
        <v>32</v>
      </c>
      <c r="G293" s="9" t="s">
        <v>184</v>
      </c>
      <c r="H293" s="11">
        <v>1637.23</v>
      </c>
      <c r="I293" s="11">
        <v>1637.23</v>
      </c>
      <c r="J293" s="11">
        <v>0</v>
      </c>
      <c r="K293">
        <v>1</v>
      </c>
    </row>
    <row r="294" spans="1:11" x14ac:dyDescent="0.25">
      <c r="A294" s="9" t="s">
        <v>52</v>
      </c>
      <c r="B294" s="9" t="s">
        <v>23</v>
      </c>
      <c r="C294" s="10">
        <v>45996</v>
      </c>
      <c r="D294" s="10">
        <v>45996</v>
      </c>
      <c r="E294" s="9" t="s">
        <v>533</v>
      </c>
      <c r="F294" s="9" t="s">
        <v>32</v>
      </c>
      <c r="G294" s="9" t="s">
        <v>224</v>
      </c>
      <c r="H294" s="11">
        <v>8786.8700000000008</v>
      </c>
      <c r="I294" s="11">
        <v>8786.8700000000008</v>
      </c>
      <c r="J294" s="11">
        <v>0</v>
      </c>
      <c r="K294">
        <v>1</v>
      </c>
    </row>
    <row r="295" spans="1:11" x14ac:dyDescent="0.25">
      <c r="A295" s="9" t="s">
        <v>52</v>
      </c>
      <c r="B295" s="9" t="s">
        <v>23</v>
      </c>
      <c r="C295" s="10">
        <v>45996</v>
      </c>
      <c r="D295" s="10">
        <v>45996</v>
      </c>
      <c r="E295" s="9" t="s">
        <v>534</v>
      </c>
      <c r="F295" s="9" t="s">
        <v>32</v>
      </c>
      <c r="G295" s="9" t="s">
        <v>535</v>
      </c>
      <c r="H295" s="11">
        <v>1754.68</v>
      </c>
      <c r="I295" s="11">
        <v>1754.68</v>
      </c>
      <c r="J295" s="11">
        <v>0</v>
      </c>
      <c r="K295">
        <v>1</v>
      </c>
    </row>
    <row r="296" spans="1:11" x14ac:dyDescent="0.25">
      <c r="A296" s="9" t="s">
        <v>52</v>
      </c>
      <c r="B296" s="9" t="s">
        <v>23</v>
      </c>
      <c r="C296" s="10">
        <v>45996</v>
      </c>
      <c r="D296" s="10">
        <v>45996</v>
      </c>
      <c r="E296" s="9" t="s">
        <v>536</v>
      </c>
      <c r="F296" s="9" t="s">
        <v>141</v>
      </c>
      <c r="G296" s="9" t="s">
        <v>537</v>
      </c>
      <c r="H296" s="11">
        <v>-23664.240000000002</v>
      </c>
      <c r="I296" s="11">
        <v>-23664.240000000002</v>
      </c>
      <c r="J296" s="11">
        <v>0</v>
      </c>
      <c r="K296">
        <v>1</v>
      </c>
    </row>
    <row r="297" spans="1:11" x14ac:dyDescent="0.25">
      <c r="A297" s="9" t="s">
        <v>52</v>
      </c>
      <c r="B297" s="9" t="s">
        <v>23</v>
      </c>
      <c r="C297" s="10">
        <v>45996</v>
      </c>
      <c r="D297" s="10">
        <v>45996</v>
      </c>
      <c r="E297" s="9" t="s">
        <v>538</v>
      </c>
      <c r="F297" s="9" t="s">
        <v>32</v>
      </c>
      <c r="G297" s="9" t="s">
        <v>237</v>
      </c>
      <c r="H297" s="11">
        <v>1766.61</v>
      </c>
      <c r="I297" s="11">
        <v>1766.61</v>
      </c>
      <c r="J297" s="11">
        <v>0</v>
      </c>
      <c r="K297">
        <v>1</v>
      </c>
    </row>
    <row r="298" spans="1:11" x14ac:dyDescent="0.25">
      <c r="A298" s="9" t="s">
        <v>52</v>
      </c>
      <c r="B298" s="9" t="s">
        <v>23</v>
      </c>
      <c r="C298" s="10">
        <v>45996</v>
      </c>
      <c r="D298" s="10">
        <v>45996</v>
      </c>
      <c r="E298" s="9" t="s">
        <v>539</v>
      </c>
      <c r="F298" s="9" t="s">
        <v>32</v>
      </c>
      <c r="G298" s="9" t="s">
        <v>540</v>
      </c>
      <c r="H298" s="11">
        <v>1839.5</v>
      </c>
      <c r="I298" s="11">
        <v>1839.5</v>
      </c>
      <c r="J298" s="11">
        <v>0</v>
      </c>
      <c r="K298">
        <v>1</v>
      </c>
    </row>
    <row r="299" spans="1:11" x14ac:dyDescent="0.25">
      <c r="A299" s="9" t="s">
        <v>52</v>
      </c>
      <c r="B299" s="9" t="s">
        <v>23</v>
      </c>
      <c r="C299" s="10">
        <v>45996</v>
      </c>
      <c r="D299" s="10">
        <v>45996</v>
      </c>
      <c r="E299" s="9" t="s">
        <v>541</v>
      </c>
      <c r="F299" s="9" t="s">
        <v>141</v>
      </c>
      <c r="G299" s="9" t="s">
        <v>542</v>
      </c>
      <c r="H299" s="11">
        <v>-24298.2</v>
      </c>
      <c r="I299" s="11">
        <v>-24298.2</v>
      </c>
      <c r="J299" s="11">
        <v>0</v>
      </c>
      <c r="K299">
        <v>1</v>
      </c>
    </row>
    <row r="300" spans="1:11" x14ac:dyDescent="0.25">
      <c r="A300" s="9" t="s">
        <v>52</v>
      </c>
      <c r="B300" s="9" t="s">
        <v>23</v>
      </c>
      <c r="C300" s="10">
        <v>45996</v>
      </c>
      <c r="D300" s="10">
        <v>45996</v>
      </c>
      <c r="E300" s="9" t="s">
        <v>543</v>
      </c>
      <c r="F300" s="9" t="s">
        <v>32</v>
      </c>
      <c r="G300" s="9" t="s">
        <v>194</v>
      </c>
      <c r="H300" s="11">
        <v>1430.2</v>
      </c>
      <c r="I300" s="11">
        <v>1430.2</v>
      </c>
      <c r="J300" s="11">
        <v>0</v>
      </c>
      <c r="K300">
        <v>1</v>
      </c>
    </row>
    <row r="301" spans="1:11" x14ac:dyDescent="0.25">
      <c r="A301" s="9" t="s">
        <v>52</v>
      </c>
      <c r="B301" s="9" t="s">
        <v>23</v>
      </c>
      <c r="C301" s="10">
        <v>45996</v>
      </c>
      <c r="D301" s="10">
        <v>45996</v>
      </c>
      <c r="E301" s="9" t="s">
        <v>544</v>
      </c>
      <c r="F301" s="9" t="s">
        <v>32</v>
      </c>
      <c r="G301" s="9" t="s">
        <v>72</v>
      </c>
      <c r="H301" s="11">
        <v>1909.52</v>
      </c>
      <c r="I301" s="11">
        <v>1909.52</v>
      </c>
      <c r="J301" s="11">
        <v>0</v>
      </c>
      <c r="K301">
        <v>1</v>
      </c>
    </row>
    <row r="302" spans="1:11" x14ac:dyDescent="0.25">
      <c r="A302" s="9" t="s">
        <v>52</v>
      </c>
      <c r="B302" s="9" t="s">
        <v>23</v>
      </c>
      <c r="C302" s="10">
        <v>45996</v>
      </c>
      <c r="D302" s="10">
        <v>45996</v>
      </c>
      <c r="E302" s="9" t="s">
        <v>545</v>
      </c>
      <c r="F302" s="9" t="s">
        <v>32</v>
      </c>
      <c r="G302" s="9" t="s">
        <v>546</v>
      </c>
      <c r="H302" s="11">
        <v>1989.28</v>
      </c>
      <c r="I302" s="11">
        <v>1989.28</v>
      </c>
      <c r="J302" s="11">
        <v>0</v>
      </c>
      <c r="K302">
        <v>1</v>
      </c>
    </row>
    <row r="303" spans="1:11" x14ac:dyDescent="0.25">
      <c r="A303" s="9" t="s">
        <v>52</v>
      </c>
      <c r="B303" s="9" t="s">
        <v>23</v>
      </c>
      <c r="C303" s="10">
        <v>45996</v>
      </c>
      <c r="D303" s="10">
        <v>45996</v>
      </c>
      <c r="E303" s="9" t="s">
        <v>547</v>
      </c>
      <c r="F303" s="9" t="s">
        <v>32</v>
      </c>
      <c r="G303" s="9" t="s">
        <v>186</v>
      </c>
      <c r="H303" s="11">
        <v>2244.92</v>
      </c>
      <c r="I303" s="11">
        <v>2244.92</v>
      </c>
      <c r="J303" s="11">
        <v>0</v>
      </c>
      <c r="K303">
        <v>1</v>
      </c>
    </row>
    <row r="304" spans="1:11" x14ac:dyDescent="0.25">
      <c r="A304" s="9" t="s">
        <v>52</v>
      </c>
      <c r="B304" s="9" t="s">
        <v>23</v>
      </c>
      <c r="C304" s="10">
        <v>45996</v>
      </c>
      <c r="D304" s="10">
        <v>45996</v>
      </c>
      <c r="E304" s="9" t="s">
        <v>548</v>
      </c>
      <c r="F304" s="9" t="s">
        <v>141</v>
      </c>
      <c r="G304" s="9" t="s">
        <v>549</v>
      </c>
      <c r="H304" s="11">
        <v>-24489.79</v>
      </c>
      <c r="I304" s="11">
        <v>-24489.79</v>
      </c>
      <c r="J304" s="11">
        <v>0</v>
      </c>
      <c r="K304">
        <v>1</v>
      </c>
    </row>
    <row r="305" spans="1:11" x14ac:dyDescent="0.25">
      <c r="A305" s="9" t="s">
        <v>52</v>
      </c>
      <c r="B305" s="9" t="s">
        <v>23</v>
      </c>
      <c r="C305" s="10">
        <v>45996</v>
      </c>
      <c r="D305" s="10">
        <v>45996</v>
      </c>
      <c r="E305" s="9" t="s">
        <v>550</v>
      </c>
      <c r="F305" s="9" t="s">
        <v>32</v>
      </c>
      <c r="G305" s="9" t="s">
        <v>233</v>
      </c>
      <c r="H305" s="11">
        <v>7438.49</v>
      </c>
      <c r="I305" s="11">
        <v>7438.49</v>
      </c>
      <c r="J305" s="11">
        <v>0</v>
      </c>
      <c r="K305">
        <v>1</v>
      </c>
    </row>
    <row r="306" spans="1:11" x14ac:dyDescent="0.25">
      <c r="A306" s="9" t="s">
        <v>52</v>
      </c>
      <c r="B306" s="9" t="s">
        <v>23</v>
      </c>
      <c r="C306" s="10">
        <v>45996</v>
      </c>
      <c r="D306" s="10">
        <v>45996</v>
      </c>
      <c r="E306" s="9" t="s">
        <v>551</v>
      </c>
      <c r="F306" s="9" t="s">
        <v>32</v>
      </c>
      <c r="G306" s="9" t="s">
        <v>552</v>
      </c>
      <c r="H306" s="11">
        <v>1778.37</v>
      </c>
      <c r="I306" s="11">
        <v>1778.37</v>
      </c>
      <c r="J306" s="11">
        <v>0</v>
      </c>
      <c r="K306">
        <v>1</v>
      </c>
    </row>
    <row r="307" spans="1:11" x14ac:dyDescent="0.25">
      <c r="A307" s="9" t="s">
        <v>52</v>
      </c>
      <c r="B307" s="9" t="s">
        <v>23</v>
      </c>
      <c r="C307" s="10">
        <v>45996</v>
      </c>
      <c r="D307" s="10">
        <v>45996</v>
      </c>
      <c r="E307" s="9" t="s">
        <v>553</v>
      </c>
      <c r="F307" s="9" t="s">
        <v>141</v>
      </c>
      <c r="G307" s="9" t="s">
        <v>554</v>
      </c>
      <c r="H307" s="11">
        <v>-19459.84</v>
      </c>
      <c r="I307" s="11">
        <v>-19459.84</v>
      </c>
      <c r="J307" s="11">
        <v>0</v>
      </c>
      <c r="K307">
        <v>1</v>
      </c>
    </row>
    <row r="308" spans="1:11" x14ac:dyDescent="0.25">
      <c r="A308" s="9" t="s">
        <v>52</v>
      </c>
      <c r="B308" s="9" t="s">
        <v>23</v>
      </c>
      <c r="C308" s="10">
        <v>45996</v>
      </c>
      <c r="D308" s="10">
        <v>45996</v>
      </c>
      <c r="E308" s="9" t="s">
        <v>555</v>
      </c>
      <c r="F308" s="9" t="s">
        <v>141</v>
      </c>
      <c r="G308" s="9" t="s">
        <v>556</v>
      </c>
      <c r="H308" s="11">
        <v>-17886.740000000002</v>
      </c>
      <c r="I308" s="11">
        <v>-17886.740000000002</v>
      </c>
      <c r="J308" s="11">
        <v>0</v>
      </c>
      <c r="K308">
        <v>1</v>
      </c>
    </row>
    <row r="309" spans="1:11" x14ac:dyDescent="0.25">
      <c r="A309" s="9" t="s">
        <v>52</v>
      </c>
      <c r="B309" s="9" t="s">
        <v>23</v>
      </c>
      <c r="C309" s="10">
        <v>45996</v>
      </c>
      <c r="D309" s="10">
        <v>45996</v>
      </c>
      <c r="E309" s="9" t="s">
        <v>557</v>
      </c>
      <c r="F309" s="9" t="s">
        <v>32</v>
      </c>
      <c r="G309" s="9" t="s">
        <v>558</v>
      </c>
      <c r="H309" s="11">
        <v>1228.1199999999999</v>
      </c>
      <c r="I309" s="11">
        <v>1228.1199999999999</v>
      </c>
      <c r="J309" s="11">
        <v>0</v>
      </c>
      <c r="K309">
        <v>1</v>
      </c>
    </row>
    <row r="310" spans="1:11" x14ac:dyDescent="0.25">
      <c r="A310" s="9" t="s">
        <v>52</v>
      </c>
      <c r="B310" s="9" t="s">
        <v>23</v>
      </c>
      <c r="C310" s="10">
        <v>45996</v>
      </c>
      <c r="D310" s="10">
        <v>45996</v>
      </c>
      <c r="E310" s="9" t="s">
        <v>559</v>
      </c>
      <c r="F310" s="9" t="s">
        <v>141</v>
      </c>
      <c r="G310" s="9" t="s">
        <v>560</v>
      </c>
      <c r="H310" s="11">
        <v>-4993.22</v>
      </c>
      <c r="I310" s="11">
        <v>-4993.22</v>
      </c>
      <c r="J310" s="11">
        <v>0</v>
      </c>
      <c r="K310">
        <v>1</v>
      </c>
    </row>
    <row r="311" spans="1:11" x14ac:dyDescent="0.25">
      <c r="A311" s="9" t="s">
        <v>52</v>
      </c>
      <c r="B311" s="9" t="s">
        <v>23</v>
      </c>
      <c r="C311" s="10">
        <v>45996</v>
      </c>
      <c r="D311" s="10">
        <v>45996</v>
      </c>
      <c r="E311" s="9" t="s">
        <v>561</v>
      </c>
      <c r="F311" s="9" t="s">
        <v>141</v>
      </c>
      <c r="G311" s="9" t="s">
        <v>562</v>
      </c>
      <c r="H311" s="11">
        <v>-12540</v>
      </c>
      <c r="I311" s="11">
        <v>-12540</v>
      </c>
      <c r="J311" s="11">
        <v>0</v>
      </c>
      <c r="K311">
        <v>1</v>
      </c>
    </row>
    <row r="312" spans="1:11" x14ac:dyDescent="0.25">
      <c r="A312" s="9" t="s">
        <v>52</v>
      </c>
      <c r="B312" s="9" t="s">
        <v>23</v>
      </c>
      <c r="C312" s="10">
        <v>45996</v>
      </c>
      <c r="D312" s="10">
        <v>45996</v>
      </c>
      <c r="E312" s="9" t="s">
        <v>563</v>
      </c>
      <c r="F312" s="9" t="s">
        <v>141</v>
      </c>
      <c r="G312" s="9" t="s">
        <v>564</v>
      </c>
      <c r="H312" s="11">
        <v>-4664.47</v>
      </c>
      <c r="I312" s="11">
        <v>-4664.47</v>
      </c>
      <c r="J312" s="11">
        <v>0</v>
      </c>
      <c r="K312">
        <v>1</v>
      </c>
    </row>
    <row r="313" spans="1:11" x14ac:dyDescent="0.25">
      <c r="A313" s="9" t="s">
        <v>52</v>
      </c>
      <c r="B313" s="9" t="s">
        <v>23</v>
      </c>
      <c r="C313" s="10">
        <v>45996</v>
      </c>
      <c r="D313" s="10">
        <v>45996</v>
      </c>
      <c r="E313" s="9" t="s">
        <v>565</v>
      </c>
      <c r="F313" s="9" t="s">
        <v>32</v>
      </c>
      <c r="G313" s="9" t="s">
        <v>264</v>
      </c>
      <c r="H313" s="11">
        <v>5109.09</v>
      </c>
      <c r="I313" s="11">
        <v>5109.09</v>
      </c>
      <c r="J313" s="11">
        <v>0</v>
      </c>
      <c r="K313">
        <v>1</v>
      </c>
    </row>
    <row r="314" spans="1:11" x14ac:dyDescent="0.25">
      <c r="A314" s="9" t="s">
        <v>52</v>
      </c>
      <c r="B314" s="9" t="s">
        <v>23</v>
      </c>
      <c r="C314" s="10">
        <v>45996</v>
      </c>
      <c r="D314" s="10">
        <v>45996</v>
      </c>
      <c r="E314" s="9" t="s">
        <v>566</v>
      </c>
      <c r="F314" s="9" t="s">
        <v>32</v>
      </c>
      <c r="G314" s="9" t="s">
        <v>567</v>
      </c>
      <c r="H314" s="11">
        <v>702.72</v>
      </c>
      <c r="I314" s="11">
        <v>702.72</v>
      </c>
      <c r="J314" s="11">
        <v>0</v>
      </c>
      <c r="K314">
        <v>1</v>
      </c>
    </row>
    <row r="315" spans="1:11" x14ac:dyDescent="0.25">
      <c r="A315" s="9" t="s">
        <v>52</v>
      </c>
      <c r="B315" s="9" t="s">
        <v>23</v>
      </c>
      <c r="C315" s="10">
        <v>45996</v>
      </c>
      <c r="D315" s="10">
        <v>45996</v>
      </c>
      <c r="E315" s="9" t="s">
        <v>568</v>
      </c>
      <c r="F315" s="9" t="s">
        <v>141</v>
      </c>
      <c r="G315" s="9" t="s">
        <v>569</v>
      </c>
      <c r="H315" s="11">
        <v>-13463.7</v>
      </c>
      <c r="I315" s="11">
        <v>-13463.7</v>
      </c>
      <c r="J315" s="11">
        <v>0</v>
      </c>
      <c r="K315">
        <v>1</v>
      </c>
    </row>
    <row r="316" spans="1:11" x14ac:dyDescent="0.25">
      <c r="A316" s="9" t="s">
        <v>52</v>
      </c>
      <c r="B316" s="9" t="s">
        <v>23</v>
      </c>
      <c r="C316" s="10">
        <v>45996</v>
      </c>
      <c r="D316" s="10">
        <v>45996</v>
      </c>
      <c r="E316" s="9" t="s">
        <v>570</v>
      </c>
      <c r="F316" s="9" t="s">
        <v>32</v>
      </c>
      <c r="G316" s="9" t="s">
        <v>571</v>
      </c>
      <c r="H316" s="11">
        <v>703.16</v>
      </c>
      <c r="I316" s="11">
        <v>703.16</v>
      </c>
      <c r="J316" s="11">
        <v>0</v>
      </c>
      <c r="K316">
        <v>1</v>
      </c>
    </row>
    <row r="317" spans="1:11" x14ac:dyDescent="0.25">
      <c r="A317" s="9" t="s">
        <v>52</v>
      </c>
      <c r="B317" s="9" t="s">
        <v>23</v>
      </c>
      <c r="C317" s="10">
        <v>45996</v>
      </c>
      <c r="D317" s="10">
        <v>45996</v>
      </c>
      <c r="E317" s="9" t="s">
        <v>572</v>
      </c>
      <c r="F317" s="9" t="s">
        <v>32</v>
      </c>
      <c r="G317" s="9" t="s">
        <v>68</v>
      </c>
      <c r="H317" s="11">
        <v>4187.5200000000004</v>
      </c>
      <c r="I317" s="11">
        <v>4187.5200000000004</v>
      </c>
      <c r="J317" s="11">
        <v>0</v>
      </c>
      <c r="K317">
        <v>1</v>
      </c>
    </row>
    <row r="318" spans="1:11" x14ac:dyDescent="0.25">
      <c r="A318" s="9" t="s">
        <v>52</v>
      </c>
      <c r="B318" s="9" t="s">
        <v>23</v>
      </c>
      <c r="C318" s="10">
        <v>45996</v>
      </c>
      <c r="D318" s="10">
        <v>45996</v>
      </c>
      <c r="E318" s="9" t="s">
        <v>573</v>
      </c>
      <c r="F318" s="9" t="s">
        <v>32</v>
      </c>
      <c r="G318" s="9" t="s">
        <v>574</v>
      </c>
      <c r="H318" s="11">
        <v>829.7</v>
      </c>
      <c r="I318" s="11">
        <v>829.7</v>
      </c>
      <c r="J318" s="11">
        <v>0</v>
      </c>
      <c r="K318">
        <v>1</v>
      </c>
    </row>
    <row r="319" spans="1:11" x14ac:dyDescent="0.25">
      <c r="A319" s="9" t="s">
        <v>52</v>
      </c>
      <c r="B319" s="9" t="s">
        <v>23</v>
      </c>
      <c r="C319" s="10">
        <v>45996</v>
      </c>
      <c r="D319" s="10">
        <v>45996</v>
      </c>
      <c r="E319" s="9" t="s">
        <v>575</v>
      </c>
      <c r="F319" s="9" t="s">
        <v>32</v>
      </c>
      <c r="G319" s="9" t="s">
        <v>291</v>
      </c>
      <c r="H319" s="11">
        <v>8088.33</v>
      </c>
      <c r="I319" s="11">
        <v>8088.33</v>
      </c>
      <c r="J319" s="11">
        <v>0</v>
      </c>
      <c r="K319">
        <v>1</v>
      </c>
    </row>
    <row r="320" spans="1:11" x14ac:dyDescent="0.25">
      <c r="A320" s="9" t="s">
        <v>52</v>
      </c>
      <c r="B320" s="9" t="s">
        <v>23</v>
      </c>
      <c r="C320" s="10">
        <v>45996</v>
      </c>
      <c r="D320" s="10">
        <v>45996</v>
      </c>
      <c r="E320" s="9" t="s">
        <v>576</v>
      </c>
      <c r="F320" s="9" t="s">
        <v>32</v>
      </c>
      <c r="G320" s="9" t="s">
        <v>577</v>
      </c>
      <c r="H320" s="11">
        <v>874.72</v>
      </c>
      <c r="I320" s="11">
        <v>874.72</v>
      </c>
      <c r="J320" s="11">
        <v>0</v>
      </c>
      <c r="K320">
        <v>1</v>
      </c>
    </row>
    <row r="321" spans="1:11" x14ac:dyDescent="0.25">
      <c r="A321" s="9" t="s">
        <v>52</v>
      </c>
      <c r="B321" s="9" t="s">
        <v>23</v>
      </c>
      <c r="C321" s="10">
        <v>45996</v>
      </c>
      <c r="D321" s="10">
        <v>45996</v>
      </c>
      <c r="E321" s="9" t="s">
        <v>578</v>
      </c>
      <c r="F321" s="9" t="s">
        <v>141</v>
      </c>
      <c r="G321" s="9" t="s">
        <v>579</v>
      </c>
      <c r="H321" s="11">
        <v>-16720</v>
      </c>
      <c r="I321" s="11">
        <v>-16720</v>
      </c>
      <c r="J321" s="11">
        <v>0</v>
      </c>
      <c r="K321">
        <v>1</v>
      </c>
    </row>
    <row r="322" spans="1:11" x14ac:dyDescent="0.25">
      <c r="A322" s="9" t="s">
        <v>52</v>
      </c>
      <c r="B322" s="9" t="s">
        <v>23</v>
      </c>
      <c r="C322" s="10">
        <v>45996</v>
      </c>
      <c r="D322" s="10">
        <v>45996</v>
      </c>
      <c r="E322" s="9" t="s">
        <v>580</v>
      </c>
      <c r="F322" s="9" t="s">
        <v>32</v>
      </c>
      <c r="G322" s="9" t="s">
        <v>190</v>
      </c>
      <c r="H322" s="11">
        <v>981.16</v>
      </c>
      <c r="I322" s="11">
        <v>981.16</v>
      </c>
      <c r="J322" s="11">
        <v>0</v>
      </c>
      <c r="K322">
        <v>1</v>
      </c>
    </row>
    <row r="323" spans="1:11" x14ac:dyDescent="0.25">
      <c r="A323" s="9" t="s">
        <v>52</v>
      </c>
      <c r="B323" s="9" t="s">
        <v>23</v>
      </c>
      <c r="C323" s="10">
        <v>45996</v>
      </c>
      <c r="D323" s="10">
        <v>45996</v>
      </c>
      <c r="E323" s="9" t="s">
        <v>581</v>
      </c>
      <c r="F323" s="9" t="s">
        <v>32</v>
      </c>
      <c r="G323" s="9" t="s">
        <v>582</v>
      </c>
      <c r="H323" s="11">
        <v>1052.7</v>
      </c>
      <c r="I323" s="11">
        <v>1052.7</v>
      </c>
      <c r="J323" s="11">
        <v>0</v>
      </c>
      <c r="K323">
        <v>1</v>
      </c>
    </row>
    <row r="324" spans="1:11" x14ac:dyDescent="0.25">
      <c r="A324" s="9" t="s">
        <v>52</v>
      </c>
      <c r="B324" s="9" t="s">
        <v>23</v>
      </c>
      <c r="C324" s="10">
        <v>45996</v>
      </c>
      <c r="D324" s="10">
        <v>45996</v>
      </c>
      <c r="E324" s="9" t="s">
        <v>583</v>
      </c>
      <c r="F324" s="9" t="s">
        <v>141</v>
      </c>
      <c r="G324" s="9" t="s">
        <v>584</v>
      </c>
      <c r="H324" s="11">
        <v>-26177.4</v>
      </c>
      <c r="I324" s="11">
        <v>-26177.4</v>
      </c>
      <c r="J324" s="11">
        <v>0</v>
      </c>
      <c r="K324">
        <v>1</v>
      </c>
    </row>
    <row r="325" spans="1:11" x14ac:dyDescent="0.25">
      <c r="A325" s="9" t="s">
        <v>52</v>
      </c>
      <c r="B325" s="9" t="s">
        <v>23</v>
      </c>
      <c r="C325" s="10">
        <v>45996</v>
      </c>
      <c r="D325" s="10">
        <v>45996</v>
      </c>
      <c r="E325" s="9" t="s">
        <v>585</v>
      </c>
      <c r="F325" s="9" t="s">
        <v>32</v>
      </c>
      <c r="G325" s="9" t="s">
        <v>586</v>
      </c>
      <c r="H325" s="11">
        <v>1081.74</v>
      </c>
      <c r="I325" s="11">
        <v>1081.74</v>
      </c>
      <c r="J325" s="11">
        <v>0</v>
      </c>
      <c r="K325">
        <v>1</v>
      </c>
    </row>
    <row r="326" spans="1:11" x14ac:dyDescent="0.25">
      <c r="A326" s="9" t="s">
        <v>52</v>
      </c>
      <c r="B326" s="9" t="s">
        <v>23</v>
      </c>
      <c r="C326" s="10">
        <v>45996</v>
      </c>
      <c r="D326" s="10">
        <v>45996</v>
      </c>
      <c r="E326" s="9" t="s">
        <v>587</v>
      </c>
      <c r="F326" s="9" t="s">
        <v>32</v>
      </c>
      <c r="G326" s="9" t="s">
        <v>64</v>
      </c>
      <c r="H326" s="11">
        <v>862.42</v>
      </c>
      <c r="I326" s="11">
        <v>862.42</v>
      </c>
      <c r="J326" s="11">
        <v>0</v>
      </c>
      <c r="K326">
        <v>1</v>
      </c>
    </row>
    <row r="327" spans="1:11" x14ac:dyDescent="0.25">
      <c r="A327" s="9" t="s">
        <v>52</v>
      </c>
      <c r="B327" s="9" t="s">
        <v>23</v>
      </c>
      <c r="C327" s="10">
        <v>45996</v>
      </c>
      <c r="D327" s="10">
        <v>45996</v>
      </c>
      <c r="E327" s="9" t="s">
        <v>588</v>
      </c>
      <c r="F327" s="9" t="s">
        <v>32</v>
      </c>
      <c r="G327" s="9" t="s">
        <v>90</v>
      </c>
      <c r="H327" s="11">
        <v>3017.3</v>
      </c>
      <c r="I327" s="11">
        <v>3017.3</v>
      </c>
      <c r="J327" s="11">
        <v>0</v>
      </c>
      <c r="K327">
        <v>1</v>
      </c>
    </row>
    <row r="328" spans="1:11" x14ac:dyDescent="0.25">
      <c r="A328" s="9" t="s">
        <v>52</v>
      </c>
      <c r="B328" s="9" t="s">
        <v>23</v>
      </c>
      <c r="C328" s="10">
        <v>45996</v>
      </c>
      <c r="D328" s="10">
        <v>45996</v>
      </c>
      <c r="E328" s="9" t="s">
        <v>589</v>
      </c>
      <c r="F328" s="9" t="s">
        <v>141</v>
      </c>
      <c r="G328" s="9" t="s">
        <v>590</v>
      </c>
      <c r="H328" s="11">
        <v>-5474.92</v>
      </c>
      <c r="I328" s="11">
        <v>-5474.92</v>
      </c>
      <c r="J328" s="11">
        <v>0</v>
      </c>
      <c r="K328">
        <v>1</v>
      </c>
    </row>
    <row r="329" spans="1:11" x14ac:dyDescent="0.25">
      <c r="A329" s="9" t="s">
        <v>52</v>
      </c>
      <c r="B329" s="9" t="s">
        <v>23</v>
      </c>
      <c r="C329" s="10">
        <v>45996</v>
      </c>
      <c r="D329" s="10">
        <v>45996</v>
      </c>
      <c r="E329" s="9" t="s">
        <v>591</v>
      </c>
      <c r="F329" s="9" t="s">
        <v>141</v>
      </c>
      <c r="G329" s="9" t="s">
        <v>592</v>
      </c>
      <c r="H329" s="11">
        <v>-39710</v>
      </c>
      <c r="I329" s="11">
        <v>-39710</v>
      </c>
      <c r="J329" s="11">
        <v>0</v>
      </c>
      <c r="K329">
        <v>1</v>
      </c>
    </row>
    <row r="330" spans="1:11" x14ac:dyDescent="0.25">
      <c r="A330" s="9" t="s">
        <v>52</v>
      </c>
      <c r="B330" s="9" t="s">
        <v>23</v>
      </c>
      <c r="C330" s="10">
        <v>45996</v>
      </c>
      <c r="D330" s="10">
        <v>45996</v>
      </c>
      <c r="E330" s="9" t="s">
        <v>593</v>
      </c>
      <c r="F330" s="9" t="s">
        <v>32</v>
      </c>
      <c r="G330" s="9" t="s">
        <v>305</v>
      </c>
      <c r="H330" s="11">
        <v>5631.43</v>
      </c>
      <c r="I330" s="11">
        <v>5631.43</v>
      </c>
      <c r="J330" s="11">
        <v>0</v>
      </c>
      <c r="K330">
        <v>1</v>
      </c>
    </row>
    <row r="331" spans="1:11" x14ac:dyDescent="0.25">
      <c r="A331" s="9" t="s">
        <v>52</v>
      </c>
      <c r="B331" s="9" t="s">
        <v>23</v>
      </c>
      <c r="C331" s="10">
        <v>45996</v>
      </c>
      <c r="D331" s="10">
        <v>45996</v>
      </c>
      <c r="E331" s="9" t="s">
        <v>594</v>
      </c>
      <c r="F331" s="9" t="s">
        <v>32</v>
      </c>
      <c r="G331" s="9" t="s">
        <v>595</v>
      </c>
      <c r="H331" s="11">
        <v>3179.84</v>
      </c>
      <c r="I331" s="11">
        <v>3179.84</v>
      </c>
      <c r="J331" s="11">
        <v>0</v>
      </c>
      <c r="K331">
        <v>1</v>
      </c>
    </row>
    <row r="332" spans="1:11" x14ac:dyDescent="0.25">
      <c r="A332" s="9" t="s">
        <v>52</v>
      </c>
      <c r="B332" s="9" t="s">
        <v>23</v>
      </c>
      <c r="C332" s="10">
        <v>45996</v>
      </c>
      <c r="D332" s="10">
        <v>45996</v>
      </c>
      <c r="E332" s="9" t="s">
        <v>596</v>
      </c>
      <c r="F332" s="9" t="s">
        <v>141</v>
      </c>
      <c r="G332" s="9" t="s">
        <v>597</v>
      </c>
      <c r="H332" s="11">
        <v>-83579.789999999994</v>
      </c>
      <c r="I332" s="11">
        <v>-83579.789999999994</v>
      </c>
      <c r="J332" s="11">
        <v>0</v>
      </c>
      <c r="K332">
        <v>1</v>
      </c>
    </row>
    <row r="333" spans="1:11" x14ac:dyDescent="0.25">
      <c r="A333" s="9" t="s">
        <v>52</v>
      </c>
      <c r="B333" s="9" t="s">
        <v>23</v>
      </c>
      <c r="C333" s="10">
        <v>45996</v>
      </c>
      <c r="D333" s="10">
        <v>45996</v>
      </c>
      <c r="E333" s="9" t="s">
        <v>598</v>
      </c>
      <c r="F333" s="9" t="s">
        <v>32</v>
      </c>
      <c r="G333" s="9" t="s">
        <v>391</v>
      </c>
      <c r="H333" s="11">
        <v>3573.28</v>
      </c>
      <c r="I333" s="11">
        <v>3573.28</v>
      </c>
      <c r="J333" s="11">
        <v>0</v>
      </c>
      <c r="K333">
        <v>1</v>
      </c>
    </row>
    <row r="334" spans="1:11" x14ac:dyDescent="0.25">
      <c r="A334" s="9" t="s">
        <v>52</v>
      </c>
      <c r="B334" s="9" t="s">
        <v>23</v>
      </c>
      <c r="C334" s="10">
        <v>45996</v>
      </c>
      <c r="D334" s="10">
        <v>45996</v>
      </c>
      <c r="E334" s="9" t="s">
        <v>599</v>
      </c>
      <c r="F334" s="9" t="s">
        <v>32</v>
      </c>
      <c r="G334" s="9" t="s">
        <v>600</v>
      </c>
      <c r="H334" s="11">
        <v>5486.69</v>
      </c>
      <c r="I334" s="11">
        <v>5486.69</v>
      </c>
      <c r="J334" s="11">
        <v>0</v>
      </c>
      <c r="K334">
        <v>1</v>
      </c>
    </row>
    <row r="335" spans="1:11" x14ac:dyDescent="0.25">
      <c r="A335" s="9" t="s">
        <v>52</v>
      </c>
      <c r="B335" s="9" t="s">
        <v>23</v>
      </c>
      <c r="C335" s="10">
        <v>45996</v>
      </c>
      <c r="D335" s="10">
        <v>45996</v>
      </c>
      <c r="E335" s="9" t="s">
        <v>601</v>
      </c>
      <c r="F335" s="9" t="s">
        <v>141</v>
      </c>
      <c r="G335" s="9" t="s">
        <v>602</v>
      </c>
      <c r="H335" s="11">
        <v>-92754.21</v>
      </c>
      <c r="I335" s="11">
        <v>-92754.21</v>
      </c>
      <c r="J335" s="11">
        <v>0</v>
      </c>
      <c r="K335">
        <v>1</v>
      </c>
    </row>
    <row r="336" spans="1:11" x14ac:dyDescent="0.25">
      <c r="A336" s="9" t="s">
        <v>52</v>
      </c>
      <c r="B336" s="9" t="s">
        <v>23</v>
      </c>
      <c r="C336" s="10">
        <v>45996</v>
      </c>
      <c r="D336" s="10">
        <v>45996</v>
      </c>
      <c r="E336" s="9" t="s">
        <v>603</v>
      </c>
      <c r="F336" s="9" t="s">
        <v>141</v>
      </c>
      <c r="G336" s="9" t="s">
        <v>604</v>
      </c>
      <c r="H336" s="11">
        <v>-32909.47</v>
      </c>
      <c r="I336" s="11">
        <v>-32909.47</v>
      </c>
      <c r="J336" s="11">
        <v>0</v>
      </c>
      <c r="K336">
        <v>1</v>
      </c>
    </row>
    <row r="337" spans="1:11" x14ac:dyDescent="0.25">
      <c r="A337" s="9" t="s">
        <v>52</v>
      </c>
      <c r="B337" s="9" t="s">
        <v>23</v>
      </c>
      <c r="C337" s="10">
        <v>45996</v>
      </c>
      <c r="D337" s="10">
        <v>45996</v>
      </c>
      <c r="E337" s="9" t="s">
        <v>605</v>
      </c>
      <c r="F337" s="9" t="s">
        <v>141</v>
      </c>
      <c r="G337" s="9" t="s">
        <v>606</v>
      </c>
      <c r="H337" s="11">
        <v>-51717.53</v>
      </c>
      <c r="I337" s="11">
        <v>-51717.53</v>
      </c>
      <c r="J337" s="11">
        <v>0</v>
      </c>
      <c r="K337">
        <v>1</v>
      </c>
    </row>
    <row r="338" spans="1:11" x14ac:dyDescent="0.25">
      <c r="A338" s="9" t="s">
        <v>52</v>
      </c>
      <c r="B338" s="9" t="s">
        <v>23</v>
      </c>
      <c r="C338" s="10">
        <v>45996</v>
      </c>
      <c r="D338" s="10">
        <v>45996</v>
      </c>
      <c r="E338" s="9" t="s">
        <v>607</v>
      </c>
      <c r="F338" s="9" t="s">
        <v>141</v>
      </c>
      <c r="G338" s="9" t="s">
        <v>608</v>
      </c>
      <c r="H338" s="11">
        <v>-29121.61</v>
      </c>
      <c r="I338" s="11">
        <v>-29121.61</v>
      </c>
      <c r="J338" s="11">
        <v>0</v>
      </c>
      <c r="K338">
        <v>1</v>
      </c>
    </row>
    <row r="339" spans="1:11" x14ac:dyDescent="0.25">
      <c r="A339" s="9" t="s">
        <v>52</v>
      </c>
      <c r="B339" s="9" t="s">
        <v>23</v>
      </c>
      <c r="C339" s="10">
        <v>45996</v>
      </c>
      <c r="D339" s="10">
        <v>45996</v>
      </c>
      <c r="E339" s="9" t="s">
        <v>609</v>
      </c>
      <c r="F339" s="9" t="s">
        <v>32</v>
      </c>
      <c r="G339" s="9" t="s">
        <v>297</v>
      </c>
      <c r="H339" s="11">
        <v>3161.84</v>
      </c>
      <c r="I339" s="11">
        <v>3161.84</v>
      </c>
      <c r="J339" s="11">
        <v>0</v>
      </c>
      <c r="K339">
        <v>1</v>
      </c>
    </row>
    <row r="340" spans="1:11" x14ac:dyDescent="0.25">
      <c r="A340" s="9" t="s">
        <v>52</v>
      </c>
      <c r="B340" s="9" t="s">
        <v>23</v>
      </c>
      <c r="C340" s="10">
        <v>45996</v>
      </c>
      <c r="D340" s="10">
        <v>45996</v>
      </c>
      <c r="E340" s="9" t="s">
        <v>610</v>
      </c>
      <c r="F340" s="9" t="s">
        <v>32</v>
      </c>
      <c r="G340" s="9" t="s">
        <v>35</v>
      </c>
      <c r="H340" s="11">
        <v>4018.22</v>
      </c>
      <c r="I340" s="11">
        <v>4018.22</v>
      </c>
      <c r="J340" s="11">
        <v>0</v>
      </c>
      <c r="K340">
        <v>1</v>
      </c>
    </row>
    <row r="341" spans="1:11" x14ac:dyDescent="0.25">
      <c r="A341" s="9" t="s">
        <v>52</v>
      </c>
      <c r="B341" s="9" t="s">
        <v>23</v>
      </c>
      <c r="C341" s="10">
        <v>45996</v>
      </c>
      <c r="D341" s="10">
        <v>45996</v>
      </c>
      <c r="E341" s="9" t="s">
        <v>611</v>
      </c>
      <c r="F341" s="9" t="s">
        <v>32</v>
      </c>
      <c r="G341" s="9" t="s">
        <v>379</v>
      </c>
      <c r="H341" s="11">
        <v>4447.1000000000004</v>
      </c>
      <c r="I341" s="11">
        <v>4447.1000000000004</v>
      </c>
      <c r="J341" s="11">
        <v>0</v>
      </c>
      <c r="K341">
        <v>1</v>
      </c>
    </row>
    <row r="342" spans="1:11" x14ac:dyDescent="0.25">
      <c r="A342" s="9" t="s">
        <v>52</v>
      </c>
      <c r="B342" s="9" t="s">
        <v>23</v>
      </c>
      <c r="C342" s="10">
        <v>45996</v>
      </c>
      <c r="D342" s="10">
        <v>45996</v>
      </c>
      <c r="E342" s="9" t="s">
        <v>612</v>
      </c>
      <c r="F342" s="9" t="s">
        <v>32</v>
      </c>
      <c r="G342" s="9" t="s">
        <v>224</v>
      </c>
      <c r="H342" s="11">
        <v>6020.34</v>
      </c>
      <c r="I342" s="11">
        <v>6020.34</v>
      </c>
      <c r="J342" s="11">
        <v>0</v>
      </c>
      <c r="K342">
        <v>1</v>
      </c>
    </row>
    <row r="343" spans="1:11" x14ac:dyDescent="0.25">
      <c r="A343" s="9" t="s">
        <v>52</v>
      </c>
      <c r="B343" s="9" t="s">
        <v>23</v>
      </c>
      <c r="C343" s="10">
        <v>45996</v>
      </c>
      <c r="D343" s="10">
        <v>45996</v>
      </c>
      <c r="E343" s="9" t="s">
        <v>613</v>
      </c>
      <c r="F343" s="9" t="s">
        <v>32</v>
      </c>
      <c r="G343" s="9" t="s">
        <v>614</v>
      </c>
      <c r="H343" s="11">
        <v>3270.91</v>
      </c>
      <c r="I343" s="11">
        <v>3270.91</v>
      </c>
      <c r="J343" s="11">
        <v>0</v>
      </c>
      <c r="K343">
        <v>1</v>
      </c>
    </row>
    <row r="344" spans="1:11" x14ac:dyDescent="0.25">
      <c r="A344" s="9" t="s">
        <v>52</v>
      </c>
      <c r="B344" s="9" t="s">
        <v>23</v>
      </c>
      <c r="C344" s="10">
        <v>45996</v>
      </c>
      <c r="D344" s="10">
        <v>45996</v>
      </c>
      <c r="E344" s="9" t="s">
        <v>615</v>
      </c>
      <c r="F344" s="9" t="s">
        <v>141</v>
      </c>
      <c r="G344" s="9" t="s">
        <v>616</v>
      </c>
      <c r="H344" s="11">
        <v>-28424.76</v>
      </c>
      <c r="I344" s="11">
        <v>-28424.76</v>
      </c>
      <c r="J344" s="11">
        <v>0</v>
      </c>
      <c r="K344">
        <v>1</v>
      </c>
    </row>
    <row r="345" spans="1:11" x14ac:dyDescent="0.25">
      <c r="A345" s="9" t="s">
        <v>52</v>
      </c>
      <c r="B345" s="9" t="s">
        <v>55</v>
      </c>
      <c r="C345" s="10">
        <v>45999</v>
      </c>
      <c r="D345" s="10">
        <v>45999</v>
      </c>
      <c r="E345" s="9" t="s">
        <v>617</v>
      </c>
      <c r="F345" s="9" t="s">
        <v>57</v>
      </c>
      <c r="G345" s="9" t="s">
        <v>428</v>
      </c>
      <c r="H345" s="11">
        <v>5356.49</v>
      </c>
      <c r="I345" s="11">
        <v>5356.49</v>
      </c>
      <c r="J345" s="11">
        <v>0</v>
      </c>
      <c r="K345">
        <v>1</v>
      </c>
    </row>
    <row r="346" spans="1:11" x14ac:dyDescent="0.25">
      <c r="A346" s="9" t="s">
        <v>52</v>
      </c>
      <c r="B346" s="9" t="s">
        <v>23</v>
      </c>
      <c r="C346" s="10">
        <v>45999</v>
      </c>
      <c r="D346" s="10">
        <v>45999</v>
      </c>
      <c r="E346" s="9" t="s">
        <v>618</v>
      </c>
      <c r="F346" s="9" t="s">
        <v>32</v>
      </c>
      <c r="G346" s="9" t="s">
        <v>247</v>
      </c>
      <c r="H346" s="11">
        <v>1814.65</v>
      </c>
      <c r="I346" s="11">
        <v>1814.65</v>
      </c>
      <c r="J346" s="11">
        <v>0</v>
      </c>
      <c r="K346">
        <v>1</v>
      </c>
    </row>
    <row r="347" spans="1:11" x14ac:dyDescent="0.25">
      <c r="A347" s="9" t="s">
        <v>52</v>
      </c>
      <c r="B347" s="9" t="s">
        <v>23</v>
      </c>
      <c r="C347" s="10">
        <v>45999</v>
      </c>
      <c r="D347" s="10">
        <v>45999</v>
      </c>
      <c r="E347" s="9" t="s">
        <v>619</v>
      </c>
      <c r="F347" s="9" t="s">
        <v>32</v>
      </c>
      <c r="G347" s="9" t="s">
        <v>379</v>
      </c>
      <c r="H347" s="11">
        <v>3195.53</v>
      </c>
      <c r="I347" s="11">
        <v>3195.53</v>
      </c>
      <c r="J347" s="11">
        <v>0</v>
      </c>
      <c r="K347">
        <v>1</v>
      </c>
    </row>
    <row r="348" spans="1:11" x14ac:dyDescent="0.25">
      <c r="A348" s="9" t="s">
        <v>52</v>
      </c>
      <c r="B348" s="9" t="s">
        <v>23</v>
      </c>
      <c r="C348" s="10">
        <v>45999</v>
      </c>
      <c r="D348" s="10">
        <v>45999</v>
      </c>
      <c r="E348" s="9" t="s">
        <v>620</v>
      </c>
      <c r="F348" s="9" t="s">
        <v>32</v>
      </c>
      <c r="G348" s="9" t="s">
        <v>84</v>
      </c>
      <c r="H348" s="11">
        <v>3459.34</v>
      </c>
      <c r="I348" s="11">
        <v>3459.34</v>
      </c>
      <c r="J348" s="11">
        <v>0</v>
      </c>
      <c r="K348">
        <v>1</v>
      </c>
    </row>
    <row r="349" spans="1:11" x14ac:dyDescent="0.25">
      <c r="A349" s="9" t="s">
        <v>52</v>
      </c>
      <c r="B349" s="9" t="s">
        <v>23</v>
      </c>
      <c r="C349" s="10">
        <v>45999</v>
      </c>
      <c r="D349" s="10">
        <v>45999</v>
      </c>
      <c r="E349" s="9" t="s">
        <v>621</v>
      </c>
      <c r="F349" s="9" t="s">
        <v>32</v>
      </c>
      <c r="G349" s="9" t="s">
        <v>60</v>
      </c>
      <c r="H349" s="11">
        <v>3897.94</v>
      </c>
      <c r="I349" s="11">
        <v>3897.94</v>
      </c>
      <c r="J349" s="11">
        <v>0</v>
      </c>
      <c r="K349">
        <v>1</v>
      </c>
    </row>
    <row r="350" spans="1:11" x14ac:dyDescent="0.25">
      <c r="A350" s="9" t="s">
        <v>52</v>
      </c>
      <c r="B350" s="9" t="s">
        <v>23</v>
      </c>
      <c r="C350" s="10">
        <v>45999</v>
      </c>
      <c r="D350" s="10">
        <v>45999</v>
      </c>
      <c r="E350" s="9" t="s">
        <v>622</v>
      </c>
      <c r="F350" s="9" t="s">
        <v>32</v>
      </c>
      <c r="G350" s="9" t="s">
        <v>373</v>
      </c>
      <c r="H350" s="11">
        <v>10246.790000000001</v>
      </c>
      <c r="I350" s="11">
        <v>10246.790000000001</v>
      </c>
      <c r="J350" s="11">
        <v>0</v>
      </c>
      <c r="K350">
        <v>1</v>
      </c>
    </row>
    <row r="351" spans="1:11" x14ac:dyDescent="0.25">
      <c r="A351" s="9" t="s">
        <v>52</v>
      </c>
      <c r="B351" s="9" t="s">
        <v>23</v>
      </c>
      <c r="C351" s="10">
        <v>45999</v>
      </c>
      <c r="D351" s="10">
        <v>45999</v>
      </c>
      <c r="E351" s="9" t="s">
        <v>623</v>
      </c>
      <c r="F351" s="9" t="s">
        <v>32</v>
      </c>
      <c r="G351" s="9" t="s">
        <v>233</v>
      </c>
      <c r="H351" s="11">
        <v>17763.28</v>
      </c>
      <c r="I351" s="11">
        <v>17763.28</v>
      </c>
      <c r="J351" s="11">
        <v>0</v>
      </c>
      <c r="K351">
        <v>1</v>
      </c>
    </row>
    <row r="352" spans="1:11" x14ac:dyDescent="0.25">
      <c r="A352" s="9" t="s">
        <v>52</v>
      </c>
      <c r="B352" s="9" t="s">
        <v>23</v>
      </c>
      <c r="C352" s="10">
        <v>45999</v>
      </c>
      <c r="D352" s="10">
        <v>45999</v>
      </c>
      <c r="E352" s="9" t="s">
        <v>624</v>
      </c>
      <c r="F352" s="9" t="s">
        <v>32</v>
      </c>
      <c r="G352" s="9" t="s">
        <v>220</v>
      </c>
      <c r="H352" s="11">
        <v>2883.74</v>
      </c>
      <c r="I352" s="11">
        <v>2883.74</v>
      </c>
      <c r="J352" s="11">
        <v>0</v>
      </c>
      <c r="K352">
        <v>1</v>
      </c>
    </row>
    <row r="353" spans="1:11" x14ac:dyDescent="0.25">
      <c r="A353" s="9" t="s">
        <v>52</v>
      </c>
      <c r="B353" s="9" t="s">
        <v>23</v>
      </c>
      <c r="C353" s="10">
        <v>45999</v>
      </c>
      <c r="D353" s="10">
        <v>45999</v>
      </c>
      <c r="E353" s="9" t="s">
        <v>625</v>
      </c>
      <c r="F353" s="9" t="s">
        <v>32</v>
      </c>
      <c r="G353" s="9" t="s">
        <v>386</v>
      </c>
      <c r="H353" s="11">
        <v>4300.96</v>
      </c>
      <c r="I353" s="11">
        <v>4300.96</v>
      </c>
      <c r="J353" s="11">
        <v>0</v>
      </c>
      <c r="K353">
        <v>1</v>
      </c>
    </row>
    <row r="354" spans="1:11" x14ac:dyDescent="0.25">
      <c r="A354" s="9" t="s">
        <v>52</v>
      </c>
      <c r="B354" s="9" t="s">
        <v>23</v>
      </c>
      <c r="C354" s="10">
        <v>45999</v>
      </c>
      <c r="D354" s="10">
        <v>45999</v>
      </c>
      <c r="E354" s="9" t="s">
        <v>626</v>
      </c>
      <c r="F354" s="9" t="s">
        <v>32</v>
      </c>
      <c r="G354" s="9" t="s">
        <v>120</v>
      </c>
      <c r="H354" s="11">
        <v>3224.67</v>
      </c>
      <c r="I354" s="11">
        <v>3224.67</v>
      </c>
      <c r="J354" s="11">
        <v>0</v>
      </c>
      <c r="K354">
        <v>1</v>
      </c>
    </row>
    <row r="355" spans="1:11" x14ac:dyDescent="0.25">
      <c r="A355" s="9" t="s">
        <v>52</v>
      </c>
      <c r="B355" s="9" t="s">
        <v>23</v>
      </c>
      <c r="C355" s="10">
        <v>45999</v>
      </c>
      <c r="D355" s="10">
        <v>45999</v>
      </c>
      <c r="E355" s="9" t="s">
        <v>627</v>
      </c>
      <c r="F355" s="9" t="s">
        <v>32</v>
      </c>
      <c r="G355" s="9" t="s">
        <v>628</v>
      </c>
      <c r="H355" s="11">
        <v>3004.12</v>
      </c>
      <c r="I355" s="11">
        <v>3004.12</v>
      </c>
      <c r="J355" s="11">
        <v>0</v>
      </c>
      <c r="K355">
        <v>1</v>
      </c>
    </row>
    <row r="356" spans="1:11" x14ac:dyDescent="0.25">
      <c r="A356" s="9" t="s">
        <v>52</v>
      </c>
      <c r="B356" s="9" t="s">
        <v>23</v>
      </c>
      <c r="C356" s="10">
        <v>45999</v>
      </c>
      <c r="D356" s="10">
        <v>45999</v>
      </c>
      <c r="E356" s="9" t="s">
        <v>629</v>
      </c>
      <c r="F356" s="9" t="s">
        <v>32</v>
      </c>
      <c r="G356" s="9" t="s">
        <v>630</v>
      </c>
      <c r="H356" s="11">
        <v>1799.31</v>
      </c>
      <c r="I356" s="11">
        <v>1799.31</v>
      </c>
      <c r="J356" s="11">
        <v>0</v>
      </c>
      <c r="K356">
        <v>1</v>
      </c>
    </row>
    <row r="357" spans="1:11" x14ac:dyDescent="0.25">
      <c r="A357" s="9" t="s">
        <v>52</v>
      </c>
      <c r="B357" s="9" t="s">
        <v>23</v>
      </c>
      <c r="C357" s="10">
        <v>45999</v>
      </c>
      <c r="D357" s="10">
        <v>45999</v>
      </c>
      <c r="E357" s="9" t="s">
        <v>631</v>
      </c>
      <c r="F357" s="9" t="s">
        <v>32</v>
      </c>
      <c r="G357" s="9" t="s">
        <v>632</v>
      </c>
      <c r="H357" s="11">
        <v>4394.68</v>
      </c>
      <c r="I357" s="11">
        <v>4394.68</v>
      </c>
      <c r="J357" s="11">
        <v>0</v>
      </c>
      <c r="K357">
        <v>1</v>
      </c>
    </row>
    <row r="358" spans="1:11" x14ac:dyDescent="0.25">
      <c r="A358" s="9" t="s">
        <v>52</v>
      </c>
      <c r="B358" s="9" t="s">
        <v>23</v>
      </c>
      <c r="C358" s="10">
        <v>45999</v>
      </c>
      <c r="D358" s="10">
        <v>45999</v>
      </c>
      <c r="E358" s="9" t="s">
        <v>633</v>
      </c>
      <c r="F358" s="9" t="s">
        <v>32</v>
      </c>
      <c r="G358" s="9" t="s">
        <v>634</v>
      </c>
      <c r="H358" s="11">
        <v>4733.3500000000004</v>
      </c>
      <c r="I358" s="11">
        <v>4733.3500000000004</v>
      </c>
      <c r="J358" s="11">
        <v>0</v>
      </c>
      <c r="K358">
        <v>1</v>
      </c>
    </row>
    <row r="359" spans="1:11" x14ac:dyDescent="0.25">
      <c r="A359" s="9" t="s">
        <v>52</v>
      </c>
      <c r="B359" s="9" t="s">
        <v>23</v>
      </c>
      <c r="C359" s="10">
        <v>45999</v>
      </c>
      <c r="D359" s="10">
        <v>45999</v>
      </c>
      <c r="E359" s="9" t="s">
        <v>635</v>
      </c>
      <c r="F359" s="9" t="s">
        <v>32</v>
      </c>
      <c r="G359" s="9" t="s">
        <v>116</v>
      </c>
      <c r="H359" s="11">
        <v>3251.84</v>
      </c>
      <c r="I359" s="11">
        <v>3251.84</v>
      </c>
      <c r="J359" s="11">
        <v>0</v>
      </c>
      <c r="K359">
        <v>1</v>
      </c>
    </row>
    <row r="360" spans="1:11" x14ac:dyDescent="0.25">
      <c r="A360" s="9" t="s">
        <v>52</v>
      </c>
      <c r="B360" s="9" t="s">
        <v>23</v>
      </c>
      <c r="C360" s="10">
        <v>45999</v>
      </c>
      <c r="D360" s="10">
        <v>45999</v>
      </c>
      <c r="E360" s="9" t="s">
        <v>636</v>
      </c>
      <c r="F360" s="9" t="s">
        <v>32</v>
      </c>
      <c r="G360" s="9" t="s">
        <v>637</v>
      </c>
      <c r="H360" s="11">
        <v>1988.58</v>
      </c>
      <c r="I360" s="11">
        <v>1988.58</v>
      </c>
      <c r="J360" s="11">
        <v>0</v>
      </c>
      <c r="K360">
        <v>1</v>
      </c>
    </row>
    <row r="361" spans="1:11" x14ac:dyDescent="0.25">
      <c r="A361" s="9" t="s">
        <v>52</v>
      </c>
      <c r="B361" s="9" t="s">
        <v>23</v>
      </c>
      <c r="C361" s="10">
        <v>45999</v>
      </c>
      <c r="D361" s="10">
        <v>45999</v>
      </c>
      <c r="E361" s="9" t="s">
        <v>638</v>
      </c>
      <c r="F361" s="9" t="s">
        <v>32</v>
      </c>
      <c r="G361" s="9" t="s">
        <v>639</v>
      </c>
      <c r="H361" s="11">
        <v>1746.57</v>
      </c>
      <c r="I361" s="11">
        <v>1746.57</v>
      </c>
      <c r="J361" s="11">
        <v>0</v>
      </c>
      <c r="K361">
        <v>1</v>
      </c>
    </row>
    <row r="362" spans="1:11" x14ac:dyDescent="0.25">
      <c r="A362" s="9" t="s">
        <v>52</v>
      </c>
      <c r="B362" s="9" t="s">
        <v>23</v>
      </c>
      <c r="C362" s="10">
        <v>45999</v>
      </c>
      <c r="D362" s="10">
        <v>45999</v>
      </c>
      <c r="E362" s="9" t="s">
        <v>640</v>
      </c>
      <c r="F362" s="9" t="s">
        <v>32</v>
      </c>
      <c r="G362" s="9" t="s">
        <v>641</v>
      </c>
      <c r="H362" s="11">
        <v>3064.54</v>
      </c>
      <c r="I362" s="11">
        <v>3064.54</v>
      </c>
      <c r="J362" s="11">
        <v>0</v>
      </c>
      <c r="K362">
        <v>1</v>
      </c>
    </row>
    <row r="363" spans="1:11" x14ac:dyDescent="0.25">
      <c r="A363" s="9" t="s">
        <v>52</v>
      </c>
      <c r="B363" s="9" t="s">
        <v>23</v>
      </c>
      <c r="C363" s="10">
        <v>45999</v>
      </c>
      <c r="D363" s="10">
        <v>45999</v>
      </c>
      <c r="E363" s="9" t="s">
        <v>642</v>
      </c>
      <c r="F363" s="9" t="s">
        <v>32</v>
      </c>
      <c r="G363" s="9" t="s">
        <v>434</v>
      </c>
      <c r="H363" s="11">
        <v>2043.67</v>
      </c>
      <c r="I363" s="11">
        <v>2043.67</v>
      </c>
      <c r="J363" s="11">
        <v>0</v>
      </c>
      <c r="K363">
        <v>1</v>
      </c>
    </row>
    <row r="364" spans="1:11" x14ac:dyDescent="0.25">
      <c r="A364" s="9" t="s">
        <v>52</v>
      </c>
      <c r="B364" s="9" t="s">
        <v>23</v>
      </c>
      <c r="C364" s="10">
        <v>45999</v>
      </c>
      <c r="D364" s="10">
        <v>45999</v>
      </c>
      <c r="E364" s="9" t="s">
        <v>643</v>
      </c>
      <c r="F364" s="9" t="s">
        <v>32</v>
      </c>
      <c r="G364" s="9" t="s">
        <v>644</v>
      </c>
      <c r="H364" s="11">
        <v>1960.61</v>
      </c>
      <c r="I364" s="11">
        <v>1960.61</v>
      </c>
      <c r="J364" s="11">
        <v>0</v>
      </c>
      <c r="K364">
        <v>1</v>
      </c>
    </row>
    <row r="365" spans="1:11" x14ac:dyDescent="0.25">
      <c r="A365" s="9" t="s">
        <v>52</v>
      </c>
      <c r="B365" s="9" t="s">
        <v>23</v>
      </c>
      <c r="C365" s="10">
        <v>45999</v>
      </c>
      <c r="D365" s="10">
        <v>45999</v>
      </c>
      <c r="E365" s="9" t="s">
        <v>645</v>
      </c>
      <c r="F365" s="9" t="s">
        <v>32</v>
      </c>
      <c r="G365" s="9" t="s">
        <v>291</v>
      </c>
      <c r="H365" s="11">
        <v>14746.17</v>
      </c>
      <c r="I365" s="11">
        <v>14746.17</v>
      </c>
      <c r="J365" s="11">
        <v>0</v>
      </c>
      <c r="K365">
        <v>1</v>
      </c>
    </row>
    <row r="366" spans="1:11" x14ac:dyDescent="0.25">
      <c r="A366" s="9" t="s">
        <v>52</v>
      </c>
      <c r="B366" s="9" t="s">
        <v>23</v>
      </c>
      <c r="C366" s="10">
        <v>45999</v>
      </c>
      <c r="D366" s="10">
        <v>45999</v>
      </c>
      <c r="E366" s="9" t="s">
        <v>646</v>
      </c>
      <c r="F366" s="9" t="s">
        <v>32</v>
      </c>
      <c r="G366" s="9" t="s">
        <v>131</v>
      </c>
      <c r="H366" s="11">
        <v>4888.55</v>
      </c>
      <c r="I366" s="11">
        <v>4888.55</v>
      </c>
      <c r="J366" s="11">
        <v>0</v>
      </c>
      <c r="K366">
        <v>1</v>
      </c>
    </row>
    <row r="367" spans="1:11" x14ac:dyDescent="0.25">
      <c r="A367" s="9" t="s">
        <v>52</v>
      </c>
      <c r="B367" s="9" t="s">
        <v>23</v>
      </c>
      <c r="C367" s="10">
        <v>45999</v>
      </c>
      <c r="D367" s="10">
        <v>45999</v>
      </c>
      <c r="E367" s="9" t="s">
        <v>647</v>
      </c>
      <c r="F367" s="9" t="s">
        <v>32</v>
      </c>
      <c r="G367" s="9" t="s">
        <v>648</v>
      </c>
      <c r="H367" s="11">
        <v>1999.71</v>
      </c>
      <c r="I367" s="11">
        <v>1999.71</v>
      </c>
      <c r="J367" s="11">
        <v>0</v>
      </c>
      <c r="K367">
        <v>1</v>
      </c>
    </row>
    <row r="368" spans="1:11" x14ac:dyDescent="0.25">
      <c r="A368" s="9" t="s">
        <v>52</v>
      </c>
      <c r="B368" s="9" t="s">
        <v>23</v>
      </c>
      <c r="C368" s="10">
        <v>45999</v>
      </c>
      <c r="D368" s="10">
        <v>45999</v>
      </c>
      <c r="E368" s="9" t="s">
        <v>649</v>
      </c>
      <c r="F368" s="9" t="s">
        <v>32</v>
      </c>
      <c r="G368" s="9" t="s">
        <v>491</v>
      </c>
      <c r="H368" s="11">
        <v>2140.88</v>
      </c>
      <c r="I368" s="11">
        <v>2140.88</v>
      </c>
      <c r="J368" s="11">
        <v>0</v>
      </c>
      <c r="K368">
        <v>1</v>
      </c>
    </row>
    <row r="369" spans="1:11" x14ac:dyDescent="0.25">
      <c r="A369" s="9" t="s">
        <v>52</v>
      </c>
      <c r="B369" s="9" t="s">
        <v>23</v>
      </c>
      <c r="C369" s="10">
        <v>45999</v>
      </c>
      <c r="D369" s="10">
        <v>45999</v>
      </c>
      <c r="E369" s="9" t="s">
        <v>650</v>
      </c>
      <c r="F369" s="9" t="s">
        <v>32</v>
      </c>
      <c r="G369" s="9" t="s">
        <v>651</v>
      </c>
      <c r="H369" s="11">
        <v>4185.41</v>
      </c>
      <c r="I369" s="11">
        <v>4185.41</v>
      </c>
      <c r="J369" s="11">
        <v>0</v>
      </c>
      <c r="K369">
        <v>1</v>
      </c>
    </row>
    <row r="370" spans="1:11" x14ac:dyDescent="0.25">
      <c r="A370" s="9" t="s">
        <v>52</v>
      </c>
      <c r="B370" s="9" t="s">
        <v>23</v>
      </c>
      <c r="C370" s="10">
        <v>45999</v>
      </c>
      <c r="D370" s="10">
        <v>45999</v>
      </c>
      <c r="E370" s="9" t="s">
        <v>652</v>
      </c>
      <c r="F370" s="9" t="s">
        <v>32</v>
      </c>
      <c r="G370" s="9" t="s">
        <v>131</v>
      </c>
      <c r="H370" s="11">
        <v>3147.89</v>
      </c>
      <c r="I370" s="11">
        <v>3147.89</v>
      </c>
      <c r="J370" s="11">
        <v>0</v>
      </c>
      <c r="K370">
        <v>1</v>
      </c>
    </row>
    <row r="371" spans="1:11" x14ac:dyDescent="0.25">
      <c r="A371" s="9" t="s">
        <v>52</v>
      </c>
      <c r="B371" s="9" t="s">
        <v>23</v>
      </c>
      <c r="C371" s="10">
        <v>45999</v>
      </c>
      <c r="D371" s="10">
        <v>45999</v>
      </c>
      <c r="E371" s="9" t="s">
        <v>653</v>
      </c>
      <c r="F371" s="9" t="s">
        <v>32</v>
      </c>
      <c r="G371" s="9" t="s">
        <v>268</v>
      </c>
      <c r="H371" s="11">
        <v>26638.77</v>
      </c>
      <c r="I371" s="11">
        <v>26638.77</v>
      </c>
      <c r="J371" s="11">
        <v>0</v>
      </c>
      <c r="K371">
        <v>1</v>
      </c>
    </row>
    <row r="372" spans="1:11" x14ac:dyDescent="0.25">
      <c r="A372" s="9" t="s">
        <v>52</v>
      </c>
      <c r="B372" s="9" t="s">
        <v>23</v>
      </c>
      <c r="C372" s="10">
        <v>45999</v>
      </c>
      <c r="D372" s="10">
        <v>45999</v>
      </c>
      <c r="E372" s="9" t="s">
        <v>654</v>
      </c>
      <c r="F372" s="9" t="s">
        <v>32</v>
      </c>
      <c r="G372" s="9" t="s">
        <v>655</v>
      </c>
      <c r="H372" s="11">
        <v>2068.14</v>
      </c>
      <c r="I372" s="11">
        <v>2068.14</v>
      </c>
      <c r="J372" s="11">
        <v>0</v>
      </c>
      <c r="K372">
        <v>1</v>
      </c>
    </row>
    <row r="373" spans="1:11" x14ac:dyDescent="0.25">
      <c r="A373" s="9" t="s">
        <v>52</v>
      </c>
      <c r="B373" s="9" t="s">
        <v>23</v>
      </c>
      <c r="C373" s="10">
        <v>45999</v>
      </c>
      <c r="D373" s="10">
        <v>45999</v>
      </c>
      <c r="E373" s="9" t="s">
        <v>656</v>
      </c>
      <c r="F373" s="9" t="s">
        <v>32</v>
      </c>
      <c r="G373" s="9" t="s">
        <v>514</v>
      </c>
      <c r="H373" s="11">
        <v>15453.14</v>
      </c>
      <c r="I373" s="11">
        <v>15453.14</v>
      </c>
      <c r="J373" s="11">
        <v>0</v>
      </c>
      <c r="K373">
        <v>1</v>
      </c>
    </row>
    <row r="374" spans="1:11" x14ac:dyDescent="0.25">
      <c r="A374" s="9" t="s">
        <v>52</v>
      </c>
      <c r="B374" s="9" t="s">
        <v>23</v>
      </c>
      <c r="C374" s="10">
        <v>45999</v>
      </c>
      <c r="D374" s="10">
        <v>45999</v>
      </c>
      <c r="E374" s="9" t="s">
        <v>657</v>
      </c>
      <c r="F374" s="9" t="s">
        <v>32</v>
      </c>
      <c r="G374" s="9" t="s">
        <v>658</v>
      </c>
      <c r="H374" s="11">
        <v>3328.25</v>
      </c>
      <c r="I374" s="11">
        <v>3328.25</v>
      </c>
      <c r="J374" s="11">
        <v>0</v>
      </c>
      <c r="K374">
        <v>1</v>
      </c>
    </row>
    <row r="375" spans="1:11" x14ac:dyDescent="0.25">
      <c r="A375" s="9" t="s">
        <v>52</v>
      </c>
      <c r="B375" s="9" t="s">
        <v>23</v>
      </c>
      <c r="C375" s="10">
        <v>45999</v>
      </c>
      <c r="D375" s="10">
        <v>45999</v>
      </c>
      <c r="E375" s="9" t="s">
        <v>659</v>
      </c>
      <c r="F375" s="9" t="s">
        <v>32</v>
      </c>
      <c r="G375" s="9" t="s">
        <v>488</v>
      </c>
      <c r="H375" s="11">
        <v>1815.07</v>
      </c>
      <c r="I375" s="11">
        <v>1815.07</v>
      </c>
      <c r="J375" s="11">
        <v>0</v>
      </c>
      <c r="K375">
        <v>1</v>
      </c>
    </row>
    <row r="376" spans="1:11" x14ac:dyDescent="0.25">
      <c r="A376" s="9" t="s">
        <v>52</v>
      </c>
      <c r="B376" s="9" t="s">
        <v>23</v>
      </c>
      <c r="C376" s="10">
        <v>45999</v>
      </c>
      <c r="D376" s="10">
        <v>45999</v>
      </c>
      <c r="E376" s="9" t="s">
        <v>660</v>
      </c>
      <c r="F376" s="9" t="s">
        <v>32</v>
      </c>
      <c r="G376" s="9" t="s">
        <v>230</v>
      </c>
      <c r="H376" s="11">
        <v>5816.61</v>
      </c>
      <c r="I376" s="11">
        <v>5816.61</v>
      </c>
      <c r="J376" s="11">
        <v>0</v>
      </c>
      <c r="K376">
        <v>1</v>
      </c>
    </row>
    <row r="377" spans="1:11" x14ac:dyDescent="0.25">
      <c r="A377" s="9" t="s">
        <v>52</v>
      </c>
      <c r="B377" s="9" t="s">
        <v>23</v>
      </c>
      <c r="C377" s="10">
        <v>45999</v>
      </c>
      <c r="D377" s="10">
        <v>45999</v>
      </c>
      <c r="E377" s="9" t="s">
        <v>661</v>
      </c>
      <c r="F377" s="9" t="s">
        <v>32</v>
      </c>
      <c r="G377" s="9" t="s">
        <v>249</v>
      </c>
      <c r="H377" s="11">
        <v>2253</v>
      </c>
      <c r="I377" s="11">
        <v>2253</v>
      </c>
      <c r="J377" s="11">
        <v>0</v>
      </c>
      <c r="K377">
        <v>1</v>
      </c>
    </row>
    <row r="378" spans="1:11" x14ac:dyDescent="0.25">
      <c r="A378" s="9" t="s">
        <v>52</v>
      </c>
      <c r="B378" s="9" t="s">
        <v>23</v>
      </c>
      <c r="C378" s="10">
        <v>45999</v>
      </c>
      <c r="D378" s="10">
        <v>45999</v>
      </c>
      <c r="E378" s="9" t="s">
        <v>662</v>
      </c>
      <c r="F378" s="9" t="s">
        <v>32</v>
      </c>
      <c r="G378" s="9" t="s">
        <v>303</v>
      </c>
      <c r="H378" s="11">
        <v>8975.7900000000009</v>
      </c>
      <c r="I378" s="11">
        <v>8975.7900000000009</v>
      </c>
      <c r="J378" s="11">
        <v>0</v>
      </c>
      <c r="K378">
        <v>1</v>
      </c>
    </row>
    <row r="379" spans="1:11" x14ac:dyDescent="0.25">
      <c r="A379" s="9" t="s">
        <v>52</v>
      </c>
      <c r="B379" s="9" t="s">
        <v>23</v>
      </c>
      <c r="C379" s="10">
        <v>45999</v>
      </c>
      <c r="D379" s="10">
        <v>45999</v>
      </c>
      <c r="E379" s="9" t="s">
        <v>663</v>
      </c>
      <c r="F379" s="9" t="s">
        <v>32</v>
      </c>
      <c r="G379" s="9" t="s">
        <v>364</v>
      </c>
      <c r="H379" s="11">
        <v>3395.61</v>
      </c>
      <c r="I379" s="11">
        <v>3395.61</v>
      </c>
      <c r="J379" s="11">
        <v>0</v>
      </c>
      <c r="K379">
        <v>1</v>
      </c>
    </row>
    <row r="380" spans="1:11" x14ac:dyDescent="0.25">
      <c r="A380" s="9" t="s">
        <v>52</v>
      </c>
      <c r="B380" s="9" t="s">
        <v>23</v>
      </c>
      <c r="C380" s="10">
        <v>45999</v>
      </c>
      <c r="D380" s="10">
        <v>45999</v>
      </c>
      <c r="E380" s="9" t="s">
        <v>664</v>
      </c>
      <c r="F380" s="9" t="s">
        <v>32</v>
      </c>
      <c r="G380" s="9" t="s">
        <v>400</v>
      </c>
      <c r="H380" s="11">
        <v>3707.84</v>
      </c>
      <c r="I380" s="11">
        <v>3707.84</v>
      </c>
      <c r="J380" s="11">
        <v>0</v>
      </c>
      <c r="K380">
        <v>1</v>
      </c>
    </row>
    <row r="381" spans="1:11" x14ac:dyDescent="0.25">
      <c r="A381" s="9" t="s">
        <v>52</v>
      </c>
      <c r="B381" s="9" t="s">
        <v>23</v>
      </c>
      <c r="C381" s="10">
        <v>45999</v>
      </c>
      <c r="D381" s="10">
        <v>45999</v>
      </c>
      <c r="E381" s="9" t="s">
        <v>665</v>
      </c>
      <c r="F381" s="9" t="s">
        <v>32</v>
      </c>
      <c r="G381" s="9" t="s">
        <v>666</v>
      </c>
      <c r="H381" s="11">
        <v>4472.92</v>
      </c>
      <c r="I381" s="11">
        <v>4472.92</v>
      </c>
      <c r="J381" s="11">
        <v>0</v>
      </c>
      <c r="K381">
        <v>1</v>
      </c>
    </row>
    <row r="382" spans="1:11" x14ac:dyDescent="0.25">
      <c r="A382" s="9" t="s">
        <v>52</v>
      </c>
      <c r="B382" s="9" t="s">
        <v>23</v>
      </c>
      <c r="C382" s="10">
        <v>45999</v>
      </c>
      <c r="D382" s="10">
        <v>45999</v>
      </c>
      <c r="E382" s="9" t="s">
        <v>667</v>
      </c>
      <c r="F382" s="9" t="s">
        <v>32</v>
      </c>
      <c r="G382" s="9" t="s">
        <v>632</v>
      </c>
      <c r="H382" s="11">
        <v>1275.8399999999999</v>
      </c>
      <c r="I382" s="11">
        <v>1275.8399999999999</v>
      </c>
      <c r="J382" s="11">
        <v>0</v>
      </c>
      <c r="K382">
        <v>1</v>
      </c>
    </row>
    <row r="383" spans="1:11" x14ac:dyDescent="0.25">
      <c r="A383" s="9" t="s">
        <v>52</v>
      </c>
      <c r="B383" s="9" t="s">
        <v>23</v>
      </c>
      <c r="C383" s="10">
        <v>45999</v>
      </c>
      <c r="D383" s="10">
        <v>45999</v>
      </c>
      <c r="E383" s="9" t="s">
        <v>668</v>
      </c>
      <c r="F383" s="9" t="s">
        <v>32</v>
      </c>
      <c r="G383" s="9" t="s">
        <v>228</v>
      </c>
      <c r="H383" s="11">
        <v>16729.79</v>
      </c>
      <c r="I383" s="11">
        <v>16729.79</v>
      </c>
      <c r="J383" s="11">
        <v>0</v>
      </c>
      <c r="K383">
        <v>1</v>
      </c>
    </row>
    <row r="384" spans="1:11" x14ac:dyDescent="0.25">
      <c r="A384" s="9" t="s">
        <v>52</v>
      </c>
      <c r="B384" s="9" t="s">
        <v>23</v>
      </c>
      <c r="C384" s="10">
        <v>45999</v>
      </c>
      <c r="D384" s="10">
        <v>45999</v>
      </c>
      <c r="E384" s="9" t="s">
        <v>669</v>
      </c>
      <c r="F384" s="9" t="s">
        <v>32</v>
      </c>
      <c r="G384" s="9" t="s">
        <v>670</v>
      </c>
      <c r="H384" s="11">
        <v>3615.42</v>
      </c>
      <c r="I384" s="11">
        <v>3615.42</v>
      </c>
      <c r="J384" s="11">
        <v>0</v>
      </c>
      <c r="K384">
        <v>1</v>
      </c>
    </row>
    <row r="385" spans="1:11" x14ac:dyDescent="0.25">
      <c r="A385" s="9" t="s">
        <v>52</v>
      </c>
      <c r="B385" s="9" t="s">
        <v>23</v>
      </c>
      <c r="C385" s="10">
        <v>45999</v>
      </c>
      <c r="D385" s="10">
        <v>45999</v>
      </c>
      <c r="E385" s="9" t="s">
        <v>671</v>
      </c>
      <c r="F385" s="9" t="s">
        <v>32</v>
      </c>
      <c r="G385" s="9" t="s">
        <v>485</v>
      </c>
      <c r="H385" s="11">
        <v>3824.63</v>
      </c>
      <c r="I385" s="11">
        <v>3824.63</v>
      </c>
      <c r="J385" s="11">
        <v>0</v>
      </c>
      <c r="K385">
        <v>1</v>
      </c>
    </row>
    <row r="386" spans="1:11" x14ac:dyDescent="0.25">
      <c r="A386" s="9" t="s">
        <v>52</v>
      </c>
      <c r="B386" s="9" t="s">
        <v>23</v>
      </c>
      <c r="C386" s="10">
        <v>45999</v>
      </c>
      <c r="D386" s="10">
        <v>45999</v>
      </c>
      <c r="E386" s="9" t="s">
        <v>672</v>
      </c>
      <c r="F386" s="9" t="s">
        <v>32</v>
      </c>
      <c r="G386" s="9" t="s">
        <v>270</v>
      </c>
      <c r="H386" s="11">
        <v>4916.18</v>
      </c>
      <c r="I386" s="11">
        <v>4916.18</v>
      </c>
      <c r="J386" s="11">
        <v>0</v>
      </c>
      <c r="K386">
        <v>1</v>
      </c>
    </row>
    <row r="387" spans="1:11" x14ac:dyDescent="0.25">
      <c r="A387" s="9" t="s">
        <v>52</v>
      </c>
      <c r="B387" s="9" t="s">
        <v>23</v>
      </c>
      <c r="C387" s="10">
        <v>45999</v>
      </c>
      <c r="D387" s="10">
        <v>45999</v>
      </c>
      <c r="E387" s="9" t="s">
        <v>673</v>
      </c>
      <c r="F387" s="9" t="s">
        <v>32</v>
      </c>
      <c r="G387" s="9" t="s">
        <v>674</v>
      </c>
      <c r="H387" s="11">
        <v>7059.43</v>
      </c>
      <c r="I387" s="11">
        <v>7059.43</v>
      </c>
      <c r="J387" s="11">
        <v>0</v>
      </c>
      <c r="K387">
        <v>1</v>
      </c>
    </row>
    <row r="388" spans="1:11" x14ac:dyDescent="0.25">
      <c r="A388" s="9" t="s">
        <v>52</v>
      </c>
      <c r="B388" s="9" t="s">
        <v>23</v>
      </c>
      <c r="C388" s="10">
        <v>45999</v>
      </c>
      <c r="D388" s="10">
        <v>45999</v>
      </c>
      <c r="E388" s="9" t="s">
        <v>675</v>
      </c>
      <c r="F388" s="9" t="s">
        <v>32</v>
      </c>
      <c r="G388" s="9" t="s">
        <v>373</v>
      </c>
      <c r="H388" s="11">
        <v>19260.53</v>
      </c>
      <c r="I388" s="11">
        <v>19260.53</v>
      </c>
      <c r="J388" s="11">
        <v>0</v>
      </c>
      <c r="K388">
        <v>1</v>
      </c>
    </row>
    <row r="389" spans="1:11" x14ac:dyDescent="0.25">
      <c r="A389" s="9" t="s">
        <v>52</v>
      </c>
      <c r="B389" s="9" t="s">
        <v>23</v>
      </c>
      <c r="C389" s="10">
        <v>45999</v>
      </c>
      <c r="D389" s="10">
        <v>45999</v>
      </c>
      <c r="E389" s="9" t="s">
        <v>676</v>
      </c>
      <c r="F389" s="9" t="s">
        <v>32</v>
      </c>
      <c r="G389" s="9" t="s">
        <v>99</v>
      </c>
      <c r="H389" s="11">
        <v>2116.59</v>
      </c>
      <c r="I389" s="11">
        <v>2116.59</v>
      </c>
      <c r="J389" s="11">
        <v>0</v>
      </c>
      <c r="K389">
        <v>1</v>
      </c>
    </row>
    <row r="390" spans="1:11" x14ac:dyDescent="0.25">
      <c r="A390" s="9" t="s">
        <v>52</v>
      </c>
      <c r="B390" s="9" t="s">
        <v>23</v>
      </c>
      <c r="C390" s="10">
        <v>45999</v>
      </c>
      <c r="D390" s="10">
        <v>45999</v>
      </c>
      <c r="E390" s="9" t="s">
        <v>677</v>
      </c>
      <c r="F390" s="9" t="s">
        <v>32</v>
      </c>
      <c r="G390" s="9" t="s">
        <v>641</v>
      </c>
      <c r="H390" s="11">
        <v>2495.21</v>
      </c>
      <c r="I390" s="11">
        <v>2495.21</v>
      </c>
      <c r="J390" s="11">
        <v>0</v>
      </c>
      <c r="K390">
        <v>1</v>
      </c>
    </row>
    <row r="391" spans="1:11" x14ac:dyDescent="0.25">
      <c r="A391" s="9" t="s">
        <v>52</v>
      </c>
      <c r="B391" s="9" t="s">
        <v>23</v>
      </c>
      <c r="C391" s="10">
        <v>45999</v>
      </c>
      <c r="D391" s="10">
        <v>45999</v>
      </c>
      <c r="E391" s="9" t="s">
        <v>678</v>
      </c>
      <c r="F391" s="9" t="s">
        <v>32</v>
      </c>
      <c r="G391" s="9" t="s">
        <v>679</v>
      </c>
      <c r="H391" s="11">
        <v>5969.86</v>
      </c>
      <c r="I391" s="11">
        <v>5969.86</v>
      </c>
      <c r="J391" s="11">
        <v>0</v>
      </c>
      <c r="K391">
        <v>1</v>
      </c>
    </row>
    <row r="392" spans="1:11" x14ac:dyDescent="0.25">
      <c r="A392" s="9" t="s">
        <v>52</v>
      </c>
      <c r="B392" s="9" t="s">
        <v>23</v>
      </c>
      <c r="C392" s="10">
        <v>45999</v>
      </c>
      <c r="D392" s="10">
        <v>45999</v>
      </c>
      <c r="E392" s="9" t="s">
        <v>680</v>
      </c>
      <c r="F392" s="9" t="s">
        <v>32</v>
      </c>
      <c r="G392" s="9" t="s">
        <v>674</v>
      </c>
      <c r="H392" s="11">
        <v>5132.43</v>
      </c>
      <c r="I392" s="11">
        <v>5132.43</v>
      </c>
      <c r="J392" s="11">
        <v>0</v>
      </c>
      <c r="K392">
        <v>1</v>
      </c>
    </row>
    <row r="393" spans="1:11" x14ac:dyDescent="0.25">
      <c r="A393" s="9" t="s">
        <v>52</v>
      </c>
      <c r="B393" s="9" t="s">
        <v>23</v>
      </c>
      <c r="C393" s="10">
        <v>45999</v>
      </c>
      <c r="D393" s="10">
        <v>45999</v>
      </c>
      <c r="E393" s="9" t="s">
        <v>681</v>
      </c>
      <c r="F393" s="9" t="s">
        <v>32</v>
      </c>
      <c r="G393" s="9" t="s">
        <v>184</v>
      </c>
      <c r="H393" s="11">
        <v>3530.6</v>
      </c>
      <c r="I393" s="11">
        <v>3530.6</v>
      </c>
      <c r="J393" s="11">
        <v>0</v>
      </c>
      <c r="K393">
        <v>1</v>
      </c>
    </row>
    <row r="394" spans="1:11" x14ac:dyDescent="0.25">
      <c r="A394" s="9" t="s">
        <v>52</v>
      </c>
      <c r="B394" s="9" t="s">
        <v>23</v>
      </c>
      <c r="C394" s="10">
        <v>45999</v>
      </c>
      <c r="D394" s="10">
        <v>45999</v>
      </c>
      <c r="E394" s="9" t="s">
        <v>682</v>
      </c>
      <c r="F394" s="9" t="s">
        <v>32</v>
      </c>
      <c r="G394" s="9" t="s">
        <v>458</v>
      </c>
      <c r="H394" s="11">
        <v>9484.81</v>
      </c>
      <c r="I394" s="11">
        <v>9484.81</v>
      </c>
      <c r="J394" s="11">
        <v>0</v>
      </c>
      <c r="K394">
        <v>1</v>
      </c>
    </row>
    <row r="395" spans="1:11" x14ac:dyDescent="0.25">
      <c r="A395" s="9" t="s">
        <v>52</v>
      </c>
      <c r="B395" s="9" t="s">
        <v>23</v>
      </c>
      <c r="C395" s="10">
        <v>45999</v>
      </c>
      <c r="D395" s="10">
        <v>45999</v>
      </c>
      <c r="E395" s="9" t="s">
        <v>683</v>
      </c>
      <c r="F395" s="9" t="s">
        <v>32</v>
      </c>
      <c r="G395" s="9" t="s">
        <v>684</v>
      </c>
      <c r="H395" s="11">
        <v>6739.66</v>
      </c>
      <c r="I395" s="11">
        <v>6739.66</v>
      </c>
      <c r="J395" s="11">
        <v>0</v>
      </c>
      <c r="K395">
        <v>1</v>
      </c>
    </row>
    <row r="396" spans="1:11" x14ac:dyDescent="0.25">
      <c r="A396" s="9" t="s">
        <v>52</v>
      </c>
      <c r="B396" s="9" t="s">
        <v>23</v>
      </c>
      <c r="C396" s="10">
        <v>45999</v>
      </c>
      <c r="D396" s="10">
        <v>45999</v>
      </c>
      <c r="E396" s="9" t="s">
        <v>685</v>
      </c>
      <c r="F396" s="9" t="s">
        <v>32</v>
      </c>
      <c r="G396" s="9" t="s">
        <v>198</v>
      </c>
      <c r="H396" s="11">
        <v>2532.25</v>
      </c>
      <c r="I396" s="11">
        <v>2532.25</v>
      </c>
      <c r="J396" s="11">
        <v>0</v>
      </c>
      <c r="K396">
        <v>1</v>
      </c>
    </row>
    <row r="397" spans="1:11" x14ac:dyDescent="0.25">
      <c r="A397" s="9" t="s">
        <v>52</v>
      </c>
      <c r="B397" s="9" t="s">
        <v>23</v>
      </c>
      <c r="C397" s="10">
        <v>45999</v>
      </c>
      <c r="D397" s="10">
        <v>45999</v>
      </c>
      <c r="E397" s="9" t="s">
        <v>686</v>
      </c>
      <c r="F397" s="9" t="s">
        <v>32</v>
      </c>
      <c r="G397" s="9" t="s">
        <v>133</v>
      </c>
      <c r="H397" s="11">
        <v>2517.0100000000002</v>
      </c>
      <c r="I397" s="11">
        <v>2517.0100000000002</v>
      </c>
      <c r="J397" s="11">
        <v>0</v>
      </c>
      <c r="K397">
        <v>1</v>
      </c>
    </row>
    <row r="398" spans="1:11" x14ac:dyDescent="0.25">
      <c r="A398" s="9" t="s">
        <v>52</v>
      </c>
      <c r="B398" s="9" t="s">
        <v>23</v>
      </c>
      <c r="C398" s="10">
        <v>45999</v>
      </c>
      <c r="D398" s="10">
        <v>45999</v>
      </c>
      <c r="E398" s="9" t="s">
        <v>687</v>
      </c>
      <c r="F398" s="9" t="s">
        <v>32</v>
      </c>
      <c r="G398" s="9" t="s">
        <v>184</v>
      </c>
      <c r="H398" s="11">
        <v>3245.58</v>
      </c>
      <c r="I398" s="11">
        <v>3245.58</v>
      </c>
      <c r="J398" s="11">
        <v>0</v>
      </c>
      <c r="K398">
        <v>1</v>
      </c>
    </row>
    <row r="399" spans="1:11" x14ac:dyDescent="0.25">
      <c r="A399" s="9" t="s">
        <v>52</v>
      </c>
      <c r="B399" s="9" t="s">
        <v>23</v>
      </c>
      <c r="C399" s="10">
        <v>45999</v>
      </c>
      <c r="D399" s="10">
        <v>45999</v>
      </c>
      <c r="E399" s="9" t="s">
        <v>688</v>
      </c>
      <c r="F399" s="9" t="s">
        <v>32</v>
      </c>
      <c r="G399" s="9" t="s">
        <v>62</v>
      </c>
      <c r="H399" s="11">
        <v>3532.61</v>
      </c>
      <c r="I399" s="11">
        <v>3532.61</v>
      </c>
      <c r="J399" s="11">
        <v>0</v>
      </c>
      <c r="K399">
        <v>1</v>
      </c>
    </row>
    <row r="400" spans="1:11" x14ac:dyDescent="0.25">
      <c r="A400" s="9" t="s">
        <v>52</v>
      </c>
      <c r="B400" s="9" t="s">
        <v>23</v>
      </c>
      <c r="C400" s="10">
        <v>45999</v>
      </c>
      <c r="D400" s="10">
        <v>45999</v>
      </c>
      <c r="E400" s="9" t="s">
        <v>689</v>
      </c>
      <c r="F400" s="9" t="s">
        <v>32</v>
      </c>
      <c r="G400" s="9" t="s">
        <v>92</v>
      </c>
      <c r="H400" s="11">
        <v>1328.12</v>
      </c>
      <c r="I400" s="11">
        <v>1328.12</v>
      </c>
      <c r="J400" s="11">
        <v>0</v>
      </c>
      <c r="K400">
        <v>1</v>
      </c>
    </row>
    <row r="401" spans="1:11" x14ac:dyDescent="0.25">
      <c r="A401" s="9" t="s">
        <v>52</v>
      </c>
      <c r="B401" s="9" t="s">
        <v>23</v>
      </c>
      <c r="C401" s="10">
        <v>45999</v>
      </c>
      <c r="D401" s="10">
        <v>45999</v>
      </c>
      <c r="E401" s="9" t="s">
        <v>690</v>
      </c>
      <c r="F401" s="9" t="s">
        <v>32</v>
      </c>
      <c r="G401" s="9" t="s">
        <v>74</v>
      </c>
      <c r="H401" s="11">
        <v>2759.56</v>
      </c>
      <c r="I401" s="11">
        <v>2759.56</v>
      </c>
      <c r="J401" s="11">
        <v>0</v>
      </c>
      <c r="K401">
        <v>1</v>
      </c>
    </row>
    <row r="402" spans="1:11" x14ac:dyDescent="0.25">
      <c r="A402" s="9" t="s">
        <v>52</v>
      </c>
      <c r="B402" s="9" t="s">
        <v>23</v>
      </c>
      <c r="C402" s="10">
        <v>45999</v>
      </c>
      <c r="D402" s="10">
        <v>45999</v>
      </c>
      <c r="E402" s="9" t="s">
        <v>691</v>
      </c>
      <c r="F402" s="9" t="s">
        <v>32</v>
      </c>
      <c r="G402" s="9" t="s">
        <v>379</v>
      </c>
      <c r="H402" s="11">
        <v>6978.84</v>
      </c>
      <c r="I402" s="11">
        <v>6978.84</v>
      </c>
      <c r="J402" s="11">
        <v>0</v>
      </c>
      <c r="K402">
        <v>1</v>
      </c>
    </row>
    <row r="403" spans="1:11" x14ac:dyDescent="0.25">
      <c r="A403" s="9" t="s">
        <v>52</v>
      </c>
      <c r="B403" s="9" t="s">
        <v>23</v>
      </c>
      <c r="C403" s="10">
        <v>45999</v>
      </c>
      <c r="D403" s="10">
        <v>45999</v>
      </c>
      <c r="E403" s="9" t="s">
        <v>692</v>
      </c>
      <c r="F403" s="9" t="s">
        <v>32</v>
      </c>
      <c r="G403" s="9" t="s">
        <v>448</v>
      </c>
      <c r="H403" s="11">
        <v>10211.549999999999</v>
      </c>
      <c r="I403" s="11">
        <v>10211.549999999999</v>
      </c>
      <c r="J403" s="11">
        <v>0</v>
      </c>
      <c r="K403">
        <v>1</v>
      </c>
    </row>
    <row r="404" spans="1:11" x14ac:dyDescent="0.25">
      <c r="A404" s="9" t="s">
        <v>52</v>
      </c>
      <c r="B404" s="9" t="s">
        <v>23</v>
      </c>
      <c r="C404" s="10">
        <v>45999</v>
      </c>
      <c r="D404" s="10">
        <v>45999</v>
      </c>
      <c r="E404" s="9" t="s">
        <v>693</v>
      </c>
      <c r="F404" s="9" t="s">
        <v>32</v>
      </c>
      <c r="G404" s="9" t="s">
        <v>694</v>
      </c>
      <c r="H404" s="11">
        <v>2812.7</v>
      </c>
      <c r="I404" s="11">
        <v>2812.7</v>
      </c>
      <c r="J404" s="11">
        <v>0</v>
      </c>
      <c r="K404">
        <v>1</v>
      </c>
    </row>
    <row r="405" spans="1:11" x14ac:dyDescent="0.25">
      <c r="A405" s="9" t="s">
        <v>52</v>
      </c>
      <c r="B405" s="9" t="s">
        <v>23</v>
      </c>
      <c r="C405" s="10">
        <v>45999</v>
      </c>
      <c r="D405" s="10">
        <v>45999</v>
      </c>
      <c r="E405" s="9" t="s">
        <v>695</v>
      </c>
      <c r="F405" s="9" t="s">
        <v>32</v>
      </c>
      <c r="G405" s="9" t="s">
        <v>129</v>
      </c>
      <c r="H405" s="11">
        <v>1747.48</v>
      </c>
      <c r="I405" s="11">
        <v>1747.48</v>
      </c>
      <c r="J405" s="11">
        <v>0</v>
      </c>
      <c r="K405">
        <v>1</v>
      </c>
    </row>
    <row r="406" spans="1:11" x14ac:dyDescent="0.25">
      <c r="A406" s="9" t="s">
        <v>52</v>
      </c>
      <c r="B406" s="9" t="s">
        <v>23</v>
      </c>
      <c r="C406" s="10">
        <v>45999</v>
      </c>
      <c r="D406" s="10">
        <v>45999</v>
      </c>
      <c r="E406" s="9" t="s">
        <v>696</v>
      </c>
      <c r="F406" s="9" t="s">
        <v>32</v>
      </c>
      <c r="G406" s="9" t="s">
        <v>233</v>
      </c>
      <c r="H406" s="11">
        <v>21646.51</v>
      </c>
      <c r="I406" s="11">
        <v>21646.51</v>
      </c>
      <c r="J406" s="11">
        <v>0</v>
      </c>
      <c r="K406">
        <v>1</v>
      </c>
    </row>
    <row r="407" spans="1:11" x14ac:dyDescent="0.25">
      <c r="A407" s="9" t="s">
        <v>52</v>
      </c>
      <c r="B407" s="9" t="s">
        <v>23</v>
      </c>
      <c r="C407" s="10">
        <v>45999</v>
      </c>
      <c r="D407" s="10">
        <v>45999</v>
      </c>
      <c r="E407" s="9" t="s">
        <v>697</v>
      </c>
      <c r="F407" s="9" t="s">
        <v>141</v>
      </c>
      <c r="G407" s="9" t="s">
        <v>698</v>
      </c>
      <c r="H407" s="11">
        <v>-12433.96</v>
      </c>
      <c r="I407" s="11">
        <v>-12433.96</v>
      </c>
      <c r="J407" s="11">
        <v>0</v>
      </c>
      <c r="K407">
        <v>1</v>
      </c>
    </row>
    <row r="408" spans="1:11" x14ac:dyDescent="0.25">
      <c r="A408" s="9" t="s">
        <v>52</v>
      </c>
      <c r="B408" s="9" t="s">
        <v>23</v>
      </c>
      <c r="C408" s="10">
        <v>45999</v>
      </c>
      <c r="D408" s="10">
        <v>45999</v>
      </c>
      <c r="E408" s="9" t="s">
        <v>699</v>
      </c>
      <c r="F408" s="9" t="s">
        <v>32</v>
      </c>
      <c r="G408" s="9" t="s">
        <v>700</v>
      </c>
      <c r="H408" s="11">
        <v>1687.04</v>
      </c>
      <c r="I408" s="11">
        <v>1687.04</v>
      </c>
      <c r="J408" s="11">
        <v>0</v>
      </c>
      <c r="K408">
        <v>1</v>
      </c>
    </row>
    <row r="409" spans="1:11" x14ac:dyDescent="0.25">
      <c r="A409" s="9" t="s">
        <v>52</v>
      </c>
      <c r="B409" s="9" t="s">
        <v>23</v>
      </c>
      <c r="C409" s="10">
        <v>45999</v>
      </c>
      <c r="D409" s="10">
        <v>45999</v>
      </c>
      <c r="E409" s="9" t="s">
        <v>701</v>
      </c>
      <c r="F409" s="9" t="s">
        <v>32</v>
      </c>
      <c r="G409" s="9" t="s">
        <v>567</v>
      </c>
      <c r="H409" s="11">
        <v>658.64</v>
      </c>
      <c r="I409" s="11">
        <v>658.64</v>
      </c>
      <c r="J409" s="11">
        <v>0</v>
      </c>
      <c r="K409">
        <v>1</v>
      </c>
    </row>
    <row r="410" spans="1:11" x14ac:dyDescent="0.25">
      <c r="A410" s="9" t="s">
        <v>52</v>
      </c>
      <c r="B410" s="9" t="s">
        <v>23</v>
      </c>
      <c r="C410" s="10">
        <v>45999</v>
      </c>
      <c r="D410" s="10">
        <v>45999</v>
      </c>
      <c r="E410" s="9" t="s">
        <v>702</v>
      </c>
      <c r="F410" s="9" t="s">
        <v>32</v>
      </c>
      <c r="G410" s="9" t="s">
        <v>703</v>
      </c>
      <c r="H410" s="11">
        <v>481.6</v>
      </c>
      <c r="I410" s="11">
        <v>481.6</v>
      </c>
      <c r="J410" s="11">
        <v>0</v>
      </c>
      <c r="K410">
        <v>1</v>
      </c>
    </row>
    <row r="411" spans="1:11" x14ac:dyDescent="0.25">
      <c r="A411" s="9" t="s">
        <v>52</v>
      </c>
      <c r="B411" s="9" t="s">
        <v>23</v>
      </c>
      <c r="C411" s="10">
        <v>45999</v>
      </c>
      <c r="D411" s="10">
        <v>45999</v>
      </c>
      <c r="E411" s="9" t="s">
        <v>704</v>
      </c>
      <c r="F411" s="9" t="s">
        <v>32</v>
      </c>
      <c r="G411" s="9" t="s">
        <v>705</v>
      </c>
      <c r="H411" s="11">
        <v>430.88</v>
      </c>
      <c r="I411" s="11">
        <v>430.88</v>
      </c>
      <c r="J411" s="11">
        <v>0</v>
      </c>
      <c r="K411">
        <v>1</v>
      </c>
    </row>
    <row r="412" spans="1:11" x14ac:dyDescent="0.25">
      <c r="A412" s="9" t="s">
        <v>52</v>
      </c>
      <c r="B412" s="9" t="s">
        <v>23</v>
      </c>
      <c r="C412" s="10">
        <v>45999</v>
      </c>
      <c r="D412" s="10">
        <v>45999</v>
      </c>
      <c r="E412" s="9" t="s">
        <v>706</v>
      </c>
      <c r="F412" s="9" t="s">
        <v>32</v>
      </c>
      <c r="G412" s="9" t="s">
        <v>707</v>
      </c>
      <c r="H412" s="11">
        <v>399.36</v>
      </c>
      <c r="I412" s="11">
        <v>399.36</v>
      </c>
      <c r="J412" s="11">
        <v>0</v>
      </c>
      <c r="K412">
        <v>1</v>
      </c>
    </row>
    <row r="413" spans="1:11" x14ac:dyDescent="0.25">
      <c r="A413" s="9" t="s">
        <v>52</v>
      </c>
      <c r="B413" s="9" t="s">
        <v>23</v>
      </c>
      <c r="C413" s="10">
        <v>45999</v>
      </c>
      <c r="D413" s="10">
        <v>45999</v>
      </c>
      <c r="E413" s="9" t="s">
        <v>708</v>
      </c>
      <c r="F413" s="9" t="s">
        <v>32</v>
      </c>
      <c r="G413" s="9" t="s">
        <v>709</v>
      </c>
      <c r="H413" s="11">
        <v>319.93</v>
      </c>
      <c r="I413" s="11">
        <v>319.93</v>
      </c>
      <c r="J413" s="11">
        <v>0</v>
      </c>
      <c r="K413">
        <v>1</v>
      </c>
    </row>
    <row r="414" spans="1:11" x14ac:dyDescent="0.25">
      <c r="A414" s="9" t="s">
        <v>52</v>
      </c>
      <c r="B414" s="9" t="s">
        <v>23</v>
      </c>
      <c r="C414" s="10">
        <v>45999</v>
      </c>
      <c r="D414" s="10">
        <v>45999</v>
      </c>
      <c r="E414" s="9" t="s">
        <v>710</v>
      </c>
      <c r="F414" s="9" t="s">
        <v>32</v>
      </c>
      <c r="G414" s="9" t="s">
        <v>582</v>
      </c>
      <c r="H414" s="11">
        <v>153.49</v>
      </c>
      <c r="I414" s="11">
        <v>153.49</v>
      </c>
      <c r="J414" s="11">
        <v>0</v>
      </c>
      <c r="K414">
        <v>1</v>
      </c>
    </row>
    <row r="415" spans="1:11" x14ac:dyDescent="0.25">
      <c r="A415" s="9" t="s">
        <v>52</v>
      </c>
      <c r="B415" s="9" t="s">
        <v>23</v>
      </c>
      <c r="C415" s="10">
        <v>45999</v>
      </c>
      <c r="D415" s="10">
        <v>45999</v>
      </c>
      <c r="E415" s="9" t="s">
        <v>711</v>
      </c>
      <c r="F415" s="9" t="s">
        <v>141</v>
      </c>
      <c r="G415" s="9" t="s">
        <v>712</v>
      </c>
      <c r="H415" s="11">
        <v>-9688</v>
      </c>
      <c r="I415" s="11">
        <v>-9688</v>
      </c>
      <c r="J415" s="11">
        <v>0</v>
      </c>
      <c r="K415">
        <v>1</v>
      </c>
    </row>
    <row r="416" spans="1:11" x14ac:dyDescent="0.25">
      <c r="A416" s="9" t="s">
        <v>52</v>
      </c>
      <c r="B416" s="9" t="s">
        <v>23</v>
      </c>
      <c r="C416" s="10">
        <v>45999</v>
      </c>
      <c r="D416" s="10">
        <v>45999</v>
      </c>
      <c r="E416" s="9" t="s">
        <v>713</v>
      </c>
      <c r="F416" s="9" t="s">
        <v>32</v>
      </c>
      <c r="G416" s="9" t="s">
        <v>259</v>
      </c>
      <c r="H416" s="11">
        <v>8198.6200000000008</v>
      </c>
      <c r="I416" s="11">
        <v>8198.6200000000008</v>
      </c>
      <c r="J416" s="11">
        <v>0</v>
      </c>
      <c r="K416">
        <v>1</v>
      </c>
    </row>
    <row r="417" spans="1:11" x14ac:dyDescent="0.25">
      <c r="A417" s="9" t="s">
        <v>52</v>
      </c>
      <c r="B417" s="9" t="s">
        <v>23</v>
      </c>
      <c r="C417" s="10">
        <v>45999</v>
      </c>
      <c r="D417" s="10">
        <v>45999</v>
      </c>
      <c r="E417" s="9" t="s">
        <v>714</v>
      </c>
      <c r="F417" s="9" t="s">
        <v>141</v>
      </c>
      <c r="G417" s="9" t="s">
        <v>715</v>
      </c>
      <c r="H417" s="11">
        <v>-33206.160000000003</v>
      </c>
      <c r="I417" s="11">
        <v>-33206.160000000003</v>
      </c>
      <c r="J417" s="11">
        <v>0</v>
      </c>
      <c r="K417">
        <v>1</v>
      </c>
    </row>
    <row r="418" spans="1:11" x14ac:dyDescent="0.25">
      <c r="A418" s="9" t="s">
        <v>52</v>
      </c>
      <c r="B418" s="9" t="s">
        <v>23</v>
      </c>
      <c r="C418" s="10">
        <v>45999</v>
      </c>
      <c r="D418" s="10">
        <v>45999</v>
      </c>
      <c r="E418" s="9" t="s">
        <v>716</v>
      </c>
      <c r="F418" s="9" t="s">
        <v>141</v>
      </c>
      <c r="G418" s="9" t="s">
        <v>717</v>
      </c>
      <c r="H418" s="11">
        <v>-33637.68</v>
      </c>
      <c r="I418" s="11">
        <v>-33637.68</v>
      </c>
      <c r="J418" s="11">
        <v>0</v>
      </c>
      <c r="K418">
        <v>1</v>
      </c>
    </row>
    <row r="419" spans="1:11" x14ac:dyDescent="0.25">
      <c r="A419" s="9" t="s">
        <v>52</v>
      </c>
      <c r="B419" s="9" t="s">
        <v>23</v>
      </c>
      <c r="C419" s="10">
        <v>45999</v>
      </c>
      <c r="D419" s="10">
        <v>45999</v>
      </c>
      <c r="E419" s="9" t="s">
        <v>718</v>
      </c>
      <c r="F419" s="9" t="s">
        <v>141</v>
      </c>
      <c r="G419" s="9" t="s">
        <v>719</v>
      </c>
      <c r="H419" s="11">
        <v>-56772</v>
      </c>
      <c r="I419" s="11">
        <v>-56772</v>
      </c>
      <c r="J419" s="11">
        <v>0</v>
      </c>
      <c r="K419">
        <v>1</v>
      </c>
    </row>
    <row r="420" spans="1:11" x14ac:dyDescent="0.25">
      <c r="A420" s="9" t="s">
        <v>52</v>
      </c>
      <c r="B420" s="9" t="s">
        <v>23</v>
      </c>
      <c r="C420" s="10">
        <v>45999</v>
      </c>
      <c r="D420" s="10">
        <v>45999</v>
      </c>
      <c r="E420" s="9" t="s">
        <v>720</v>
      </c>
      <c r="F420" s="9" t="s">
        <v>141</v>
      </c>
      <c r="G420" s="9" t="s">
        <v>721</v>
      </c>
      <c r="H420" s="11">
        <v>-67129.66</v>
      </c>
      <c r="I420" s="11">
        <v>-67129.66</v>
      </c>
      <c r="J420" s="11">
        <v>0</v>
      </c>
      <c r="K420">
        <v>1</v>
      </c>
    </row>
    <row r="421" spans="1:11" x14ac:dyDescent="0.25">
      <c r="A421" s="9" t="s">
        <v>52</v>
      </c>
      <c r="B421" s="9" t="s">
        <v>23</v>
      </c>
      <c r="C421" s="10">
        <v>45999</v>
      </c>
      <c r="D421" s="10">
        <v>45999</v>
      </c>
      <c r="E421" s="9" t="s">
        <v>722</v>
      </c>
      <c r="F421" s="9" t="s">
        <v>32</v>
      </c>
      <c r="G421" s="9" t="s">
        <v>281</v>
      </c>
      <c r="H421" s="11">
        <v>5369.53</v>
      </c>
      <c r="I421" s="11">
        <v>5369.53</v>
      </c>
      <c r="J421" s="11">
        <v>0</v>
      </c>
      <c r="K421">
        <v>1</v>
      </c>
    </row>
    <row r="422" spans="1:11" x14ac:dyDescent="0.25">
      <c r="A422" s="9" t="s">
        <v>52</v>
      </c>
      <c r="B422" s="9" t="s">
        <v>23</v>
      </c>
      <c r="C422" s="10">
        <v>45999</v>
      </c>
      <c r="D422" s="10">
        <v>45999</v>
      </c>
      <c r="E422" s="9" t="s">
        <v>723</v>
      </c>
      <c r="F422" s="9" t="s">
        <v>141</v>
      </c>
      <c r="G422" s="9" t="s">
        <v>724</v>
      </c>
      <c r="H422" s="11">
        <v>-69711</v>
      </c>
      <c r="I422" s="11">
        <v>-69711</v>
      </c>
      <c r="J422" s="11">
        <v>0</v>
      </c>
      <c r="K422">
        <v>1</v>
      </c>
    </row>
    <row r="423" spans="1:11" x14ac:dyDescent="0.25">
      <c r="A423" s="9" t="s">
        <v>52</v>
      </c>
      <c r="B423" s="9" t="s">
        <v>23</v>
      </c>
      <c r="C423" s="10">
        <v>45999</v>
      </c>
      <c r="D423" s="10">
        <v>45999</v>
      </c>
      <c r="E423" s="9" t="s">
        <v>725</v>
      </c>
      <c r="F423" s="9" t="s">
        <v>141</v>
      </c>
      <c r="G423" s="9" t="s">
        <v>726</v>
      </c>
      <c r="H423" s="11">
        <v>-82328.399999999994</v>
      </c>
      <c r="I423" s="11">
        <v>-82328.399999999994</v>
      </c>
      <c r="J423" s="11">
        <v>0</v>
      </c>
      <c r="K423">
        <v>1</v>
      </c>
    </row>
    <row r="424" spans="1:11" x14ac:dyDescent="0.25">
      <c r="A424" s="9" t="s">
        <v>52</v>
      </c>
      <c r="B424" s="9" t="s">
        <v>23</v>
      </c>
      <c r="C424" s="10">
        <v>45999</v>
      </c>
      <c r="D424" s="10">
        <v>45999</v>
      </c>
      <c r="E424" s="9" t="s">
        <v>727</v>
      </c>
      <c r="F424" s="9" t="s">
        <v>141</v>
      </c>
      <c r="G424" s="9" t="s">
        <v>728</v>
      </c>
      <c r="H424" s="11">
        <v>-172458</v>
      </c>
      <c r="I424" s="11">
        <v>-172458</v>
      </c>
      <c r="J424" s="11">
        <v>0</v>
      </c>
      <c r="K424">
        <v>1</v>
      </c>
    </row>
    <row r="425" spans="1:11" x14ac:dyDescent="0.25">
      <c r="A425" s="9" t="s">
        <v>52</v>
      </c>
      <c r="B425" s="9" t="s">
        <v>23</v>
      </c>
      <c r="C425" s="10">
        <v>45999</v>
      </c>
      <c r="D425" s="10">
        <v>45999</v>
      </c>
      <c r="E425" s="9" t="s">
        <v>729</v>
      </c>
      <c r="F425" s="9" t="s">
        <v>141</v>
      </c>
      <c r="G425" s="9" t="s">
        <v>730</v>
      </c>
      <c r="H425" s="11">
        <v>-214404.63</v>
      </c>
      <c r="I425" s="11">
        <v>-214404.63</v>
      </c>
      <c r="J425" s="11">
        <v>0</v>
      </c>
      <c r="K425">
        <v>1</v>
      </c>
    </row>
    <row r="426" spans="1:11" x14ac:dyDescent="0.25">
      <c r="A426" s="9" t="s">
        <v>52</v>
      </c>
      <c r="B426" s="9" t="s">
        <v>23</v>
      </c>
      <c r="C426" s="10">
        <v>45999</v>
      </c>
      <c r="D426" s="10">
        <v>45999</v>
      </c>
      <c r="E426" s="9" t="s">
        <v>731</v>
      </c>
      <c r="F426" s="9" t="s">
        <v>32</v>
      </c>
      <c r="G426" s="9" t="s">
        <v>66</v>
      </c>
      <c r="H426" s="11">
        <v>5094.58</v>
      </c>
      <c r="I426" s="11">
        <v>5094.58</v>
      </c>
      <c r="J426" s="11">
        <v>0</v>
      </c>
      <c r="K426">
        <v>1</v>
      </c>
    </row>
    <row r="427" spans="1:11" x14ac:dyDescent="0.25">
      <c r="A427" s="9" t="s">
        <v>52</v>
      </c>
      <c r="B427" s="9" t="s">
        <v>23</v>
      </c>
      <c r="C427" s="10">
        <v>45999</v>
      </c>
      <c r="D427" s="10">
        <v>45999</v>
      </c>
      <c r="E427" s="9" t="s">
        <v>732</v>
      </c>
      <c r="F427" s="9" t="s">
        <v>32</v>
      </c>
      <c r="G427" s="9" t="s">
        <v>239</v>
      </c>
      <c r="H427" s="11">
        <v>1148.95</v>
      </c>
      <c r="I427" s="11">
        <v>1148.95</v>
      </c>
      <c r="J427" s="11">
        <v>0</v>
      </c>
      <c r="K427">
        <v>1</v>
      </c>
    </row>
    <row r="428" spans="1:11" x14ac:dyDescent="0.25">
      <c r="A428" s="9" t="s">
        <v>52</v>
      </c>
      <c r="B428" s="9" t="s">
        <v>23</v>
      </c>
      <c r="C428" s="10">
        <v>45999</v>
      </c>
      <c r="D428" s="10">
        <v>45999</v>
      </c>
      <c r="E428" s="9" t="s">
        <v>733</v>
      </c>
      <c r="F428" s="9" t="s">
        <v>32</v>
      </c>
      <c r="G428" s="9" t="s">
        <v>243</v>
      </c>
      <c r="H428" s="11">
        <v>18840.28</v>
      </c>
      <c r="I428" s="11">
        <v>18840.28</v>
      </c>
      <c r="J428" s="11">
        <v>0</v>
      </c>
      <c r="K428">
        <v>1</v>
      </c>
    </row>
    <row r="429" spans="1:11" x14ac:dyDescent="0.25">
      <c r="A429" s="9" t="s">
        <v>52</v>
      </c>
      <c r="B429" s="9" t="s">
        <v>23</v>
      </c>
      <c r="C429" s="10">
        <v>45999</v>
      </c>
      <c r="D429" s="10">
        <v>45999</v>
      </c>
      <c r="E429" s="9" t="s">
        <v>734</v>
      </c>
      <c r="F429" s="9" t="s">
        <v>32</v>
      </c>
      <c r="G429" s="9" t="s">
        <v>224</v>
      </c>
      <c r="H429" s="11">
        <v>4386.16</v>
      </c>
      <c r="I429" s="11">
        <v>4386.16</v>
      </c>
      <c r="J429" s="11">
        <v>0</v>
      </c>
      <c r="K429">
        <v>1</v>
      </c>
    </row>
    <row r="430" spans="1:11" x14ac:dyDescent="0.25">
      <c r="A430" s="9" t="s">
        <v>52</v>
      </c>
      <c r="B430" s="9" t="s">
        <v>23</v>
      </c>
      <c r="C430" s="10">
        <v>45999</v>
      </c>
      <c r="D430" s="10">
        <v>45999</v>
      </c>
      <c r="E430" s="9" t="s">
        <v>735</v>
      </c>
      <c r="F430" s="9" t="s">
        <v>32</v>
      </c>
      <c r="G430" s="9" t="s">
        <v>736</v>
      </c>
      <c r="H430" s="11">
        <v>1452.32</v>
      </c>
      <c r="I430" s="11">
        <v>1452.32</v>
      </c>
      <c r="J430" s="11">
        <v>0</v>
      </c>
      <c r="K430">
        <v>1</v>
      </c>
    </row>
    <row r="431" spans="1:11" x14ac:dyDescent="0.25">
      <c r="A431" s="9" t="s">
        <v>52</v>
      </c>
      <c r="B431" s="9" t="s">
        <v>23</v>
      </c>
      <c r="C431" s="10">
        <v>45999</v>
      </c>
      <c r="D431" s="10">
        <v>45999</v>
      </c>
      <c r="E431" s="9" t="s">
        <v>737</v>
      </c>
      <c r="F431" s="9" t="s">
        <v>32</v>
      </c>
      <c r="G431" s="9" t="s">
        <v>252</v>
      </c>
      <c r="H431" s="11">
        <v>14421.38</v>
      </c>
      <c r="I431" s="11">
        <v>14421.38</v>
      </c>
      <c r="J431" s="11">
        <v>0</v>
      </c>
      <c r="K431">
        <v>1</v>
      </c>
    </row>
    <row r="432" spans="1:11" x14ac:dyDescent="0.25">
      <c r="A432" s="9" t="s">
        <v>52</v>
      </c>
      <c r="B432" s="9" t="s">
        <v>23</v>
      </c>
      <c r="C432" s="10">
        <v>45999</v>
      </c>
      <c r="D432" s="10">
        <v>45999</v>
      </c>
      <c r="E432" s="9" t="s">
        <v>738</v>
      </c>
      <c r="F432" s="9" t="s">
        <v>32</v>
      </c>
      <c r="G432" s="9" t="s">
        <v>245</v>
      </c>
      <c r="H432" s="11">
        <v>5391.96</v>
      </c>
      <c r="I432" s="11">
        <v>5391.96</v>
      </c>
      <c r="J432" s="11">
        <v>0</v>
      </c>
      <c r="K432">
        <v>1</v>
      </c>
    </row>
    <row r="433" spans="1:11" x14ac:dyDescent="0.25">
      <c r="A433" s="9" t="s">
        <v>52</v>
      </c>
      <c r="B433" s="9" t="s">
        <v>23</v>
      </c>
      <c r="C433" s="10">
        <v>45999</v>
      </c>
      <c r="D433" s="10">
        <v>45999</v>
      </c>
      <c r="E433" s="9" t="s">
        <v>739</v>
      </c>
      <c r="F433" s="9" t="s">
        <v>32</v>
      </c>
      <c r="G433" s="9" t="s">
        <v>33</v>
      </c>
      <c r="H433" s="11">
        <v>25939.43</v>
      </c>
      <c r="I433" s="11">
        <v>25939.43</v>
      </c>
      <c r="J433" s="11">
        <v>0</v>
      </c>
      <c r="K433">
        <v>1</v>
      </c>
    </row>
    <row r="434" spans="1:11" x14ac:dyDescent="0.25">
      <c r="A434" s="9" t="s">
        <v>52</v>
      </c>
      <c r="B434" s="9" t="s">
        <v>23</v>
      </c>
      <c r="C434" s="10">
        <v>45999</v>
      </c>
      <c r="D434" s="10">
        <v>45999</v>
      </c>
      <c r="E434" s="9" t="s">
        <v>740</v>
      </c>
      <c r="F434" s="9" t="s">
        <v>32</v>
      </c>
      <c r="G434" s="9" t="s">
        <v>741</v>
      </c>
      <c r="H434" s="11">
        <v>1690.96</v>
      </c>
      <c r="I434" s="11">
        <v>1690.96</v>
      </c>
      <c r="J434" s="11">
        <v>0</v>
      </c>
      <c r="K434">
        <v>1</v>
      </c>
    </row>
    <row r="435" spans="1:11" x14ac:dyDescent="0.25">
      <c r="A435" s="9" t="s">
        <v>52</v>
      </c>
      <c r="B435" s="9" t="s">
        <v>23</v>
      </c>
      <c r="C435" s="10">
        <v>45999</v>
      </c>
      <c r="D435" s="10">
        <v>45999</v>
      </c>
      <c r="E435" s="9" t="s">
        <v>742</v>
      </c>
      <c r="F435" s="9" t="s">
        <v>141</v>
      </c>
      <c r="G435" s="9" t="s">
        <v>743</v>
      </c>
      <c r="H435" s="11">
        <v>-77154.09</v>
      </c>
      <c r="I435" s="11">
        <v>-77154.09</v>
      </c>
      <c r="J435" s="11">
        <v>0</v>
      </c>
      <c r="K435">
        <v>1</v>
      </c>
    </row>
    <row r="436" spans="1:11" x14ac:dyDescent="0.25">
      <c r="A436" s="9" t="s">
        <v>52</v>
      </c>
      <c r="B436" s="9" t="s">
        <v>23</v>
      </c>
      <c r="C436" s="10">
        <v>45999</v>
      </c>
      <c r="D436" s="10">
        <v>45999</v>
      </c>
      <c r="E436" s="9" t="s">
        <v>744</v>
      </c>
      <c r="F436" s="9" t="s">
        <v>32</v>
      </c>
      <c r="G436" s="9" t="s">
        <v>745</v>
      </c>
      <c r="H436" s="11">
        <v>10643.23</v>
      </c>
      <c r="I436" s="11">
        <v>10643.23</v>
      </c>
      <c r="J436" s="11">
        <v>0</v>
      </c>
      <c r="K436">
        <v>1</v>
      </c>
    </row>
    <row r="437" spans="1:11" x14ac:dyDescent="0.25">
      <c r="A437" s="9" t="s">
        <v>52</v>
      </c>
      <c r="B437" s="9" t="s">
        <v>23</v>
      </c>
      <c r="C437" s="10">
        <v>45999</v>
      </c>
      <c r="D437" s="10">
        <v>45999</v>
      </c>
      <c r="E437" s="9" t="s">
        <v>746</v>
      </c>
      <c r="F437" s="9" t="s">
        <v>141</v>
      </c>
      <c r="G437" s="9" t="s">
        <v>747</v>
      </c>
      <c r="H437" s="11">
        <v>-31988.15</v>
      </c>
      <c r="I437" s="11">
        <v>-31988.15</v>
      </c>
      <c r="J437" s="11">
        <v>0</v>
      </c>
      <c r="K437">
        <v>1</v>
      </c>
    </row>
    <row r="438" spans="1:11" x14ac:dyDescent="0.25">
      <c r="A438" s="9" t="s">
        <v>52</v>
      </c>
      <c r="B438" s="9" t="s">
        <v>23</v>
      </c>
      <c r="C438" s="10">
        <v>45999</v>
      </c>
      <c r="D438" s="10">
        <v>45999</v>
      </c>
      <c r="E438" s="9" t="s">
        <v>748</v>
      </c>
      <c r="F438" s="9" t="s">
        <v>32</v>
      </c>
      <c r="G438" s="9" t="s">
        <v>481</v>
      </c>
      <c r="H438" s="11">
        <v>767.44</v>
      </c>
      <c r="I438" s="11">
        <v>767.44</v>
      </c>
      <c r="J438" s="11">
        <v>0</v>
      </c>
      <c r="K438">
        <v>1</v>
      </c>
    </row>
    <row r="439" spans="1:11" x14ac:dyDescent="0.25">
      <c r="A439" s="9" t="s">
        <v>52</v>
      </c>
      <c r="B439" s="9" t="s">
        <v>23</v>
      </c>
      <c r="C439" s="10">
        <v>45999</v>
      </c>
      <c r="D439" s="10">
        <v>45999</v>
      </c>
      <c r="E439" s="9" t="s">
        <v>749</v>
      </c>
      <c r="F439" s="9" t="s">
        <v>32</v>
      </c>
      <c r="G439" s="9" t="s">
        <v>139</v>
      </c>
      <c r="H439" s="11">
        <v>1680.12</v>
      </c>
      <c r="I439" s="11">
        <v>1680.12</v>
      </c>
      <c r="J439" s="11">
        <v>0</v>
      </c>
      <c r="K439">
        <v>1</v>
      </c>
    </row>
    <row r="440" spans="1:11" x14ac:dyDescent="0.25">
      <c r="A440" s="9" t="s">
        <v>52</v>
      </c>
      <c r="B440" s="9" t="s">
        <v>23</v>
      </c>
      <c r="C440" s="10">
        <v>45999</v>
      </c>
      <c r="D440" s="10">
        <v>45999</v>
      </c>
      <c r="E440" s="9" t="s">
        <v>750</v>
      </c>
      <c r="F440" s="9" t="s">
        <v>32</v>
      </c>
      <c r="G440" s="9" t="s">
        <v>488</v>
      </c>
      <c r="H440" s="11">
        <v>1676.24</v>
      </c>
      <c r="I440" s="11">
        <v>1676.24</v>
      </c>
      <c r="J440" s="11">
        <v>0</v>
      </c>
      <c r="K440">
        <v>1</v>
      </c>
    </row>
    <row r="441" spans="1:11" x14ac:dyDescent="0.25">
      <c r="A441" s="9" t="s">
        <v>52</v>
      </c>
      <c r="B441" s="9" t="s">
        <v>23</v>
      </c>
      <c r="C441" s="10">
        <v>45999</v>
      </c>
      <c r="D441" s="10">
        <v>45999</v>
      </c>
      <c r="E441" s="9" t="s">
        <v>751</v>
      </c>
      <c r="F441" s="9" t="s">
        <v>32</v>
      </c>
      <c r="G441" s="9" t="s">
        <v>514</v>
      </c>
      <c r="H441" s="11">
        <v>5728.03</v>
      </c>
      <c r="I441" s="11">
        <v>5728.03</v>
      </c>
      <c r="J441" s="11">
        <v>0</v>
      </c>
      <c r="K441">
        <v>1</v>
      </c>
    </row>
    <row r="442" spans="1:11" x14ac:dyDescent="0.25">
      <c r="A442" s="9" t="s">
        <v>52</v>
      </c>
      <c r="B442" s="9" t="s">
        <v>23</v>
      </c>
      <c r="C442" s="10">
        <v>45999</v>
      </c>
      <c r="D442" s="10">
        <v>45999</v>
      </c>
      <c r="E442" s="9" t="s">
        <v>752</v>
      </c>
      <c r="F442" s="9" t="s">
        <v>32</v>
      </c>
      <c r="G442" s="9" t="s">
        <v>753</v>
      </c>
      <c r="H442" s="11">
        <v>1474.34</v>
      </c>
      <c r="I442" s="11">
        <v>1474.34</v>
      </c>
      <c r="J442" s="11">
        <v>0</v>
      </c>
      <c r="K442">
        <v>1</v>
      </c>
    </row>
    <row r="443" spans="1:11" x14ac:dyDescent="0.25">
      <c r="A443" s="9" t="s">
        <v>52</v>
      </c>
      <c r="B443" s="9" t="s">
        <v>23</v>
      </c>
      <c r="C443" s="10">
        <v>45999</v>
      </c>
      <c r="D443" s="10">
        <v>45999</v>
      </c>
      <c r="E443" s="9" t="s">
        <v>754</v>
      </c>
      <c r="F443" s="9" t="s">
        <v>32</v>
      </c>
      <c r="G443" s="9" t="s">
        <v>393</v>
      </c>
      <c r="H443" s="11">
        <v>1450.67</v>
      </c>
      <c r="I443" s="11">
        <v>1450.67</v>
      </c>
      <c r="J443" s="11">
        <v>0</v>
      </c>
      <c r="K443">
        <v>1</v>
      </c>
    </row>
    <row r="444" spans="1:11" x14ac:dyDescent="0.25">
      <c r="A444" s="9" t="s">
        <v>52</v>
      </c>
      <c r="B444" s="9" t="s">
        <v>23</v>
      </c>
      <c r="C444" s="10">
        <v>45999</v>
      </c>
      <c r="D444" s="10">
        <v>45999</v>
      </c>
      <c r="E444" s="9" t="s">
        <v>755</v>
      </c>
      <c r="F444" s="9" t="s">
        <v>32</v>
      </c>
      <c r="G444" s="9" t="s">
        <v>756</v>
      </c>
      <c r="H444" s="11">
        <v>711.47</v>
      </c>
      <c r="I444" s="11">
        <v>711.47</v>
      </c>
      <c r="J444" s="11">
        <v>0</v>
      </c>
      <c r="K444">
        <v>1</v>
      </c>
    </row>
    <row r="445" spans="1:11" x14ac:dyDescent="0.25">
      <c r="A445" s="9" t="s">
        <v>52</v>
      </c>
      <c r="B445" s="9" t="s">
        <v>23</v>
      </c>
      <c r="C445" s="10">
        <v>45999</v>
      </c>
      <c r="D445" s="10">
        <v>45999</v>
      </c>
      <c r="E445" s="9" t="s">
        <v>757</v>
      </c>
      <c r="F445" s="9" t="s">
        <v>32</v>
      </c>
      <c r="G445" s="9" t="s">
        <v>239</v>
      </c>
      <c r="H445" s="11">
        <v>1368.93</v>
      </c>
      <c r="I445" s="11">
        <v>1368.93</v>
      </c>
      <c r="J445" s="11">
        <v>0</v>
      </c>
      <c r="K445">
        <v>1</v>
      </c>
    </row>
    <row r="446" spans="1:11" x14ac:dyDescent="0.25">
      <c r="A446" s="9" t="s">
        <v>52</v>
      </c>
      <c r="B446" s="9" t="s">
        <v>23</v>
      </c>
      <c r="C446" s="10">
        <v>45999</v>
      </c>
      <c r="D446" s="10">
        <v>45999</v>
      </c>
      <c r="E446" s="9" t="s">
        <v>758</v>
      </c>
      <c r="F446" s="9" t="s">
        <v>32</v>
      </c>
      <c r="G446" s="9" t="s">
        <v>106</v>
      </c>
      <c r="H446" s="11">
        <v>1395.93</v>
      </c>
      <c r="I446" s="11">
        <v>1395.93</v>
      </c>
      <c r="J446" s="11">
        <v>0</v>
      </c>
      <c r="K446">
        <v>1</v>
      </c>
    </row>
    <row r="447" spans="1:11" x14ac:dyDescent="0.25">
      <c r="A447" s="9" t="s">
        <v>52</v>
      </c>
      <c r="B447" s="9" t="s">
        <v>23</v>
      </c>
      <c r="C447" s="10">
        <v>45999</v>
      </c>
      <c r="D447" s="10">
        <v>45999</v>
      </c>
      <c r="E447" s="9" t="s">
        <v>759</v>
      </c>
      <c r="F447" s="9" t="s">
        <v>32</v>
      </c>
      <c r="G447" s="9" t="s">
        <v>108</v>
      </c>
      <c r="H447" s="11">
        <v>1388.1</v>
      </c>
      <c r="I447" s="11">
        <v>1388.1</v>
      </c>
      <c r="J447" s="11">
        <v>0</v>
      </c>
      <c r="K447">
        <v>1</v>
      </c>
    </row>
    <row r="448" spans="1:11" x14ac:dyDescent="0.25">
      <c r="A448" s="9" t="s">
        <v>52</v>
      </c>
      <c r="B448" s="9" t="s">
        <v>23</v>
      </c>
      <c r="C448" s="10">
        <v>45999</v>
      </c>
      <c r="D448" s="10">
        <v>45999</v>
      </c>
      <c r="E448" s="9" t="s">
        <v>760</v>
      </c>
      <c r="F448" s="9" t="s">
        <v>32</v>
      </c>
      <c r="G448" s="9" t="s">
        <v>239</v>
      </c>
      <c r="H448" s="11">
        <v>2935.65</v>
      </c>
      <c r="I448" s="11">
        <v>2935.65</v>
      </c>
      <c r="J448" s="11">
        <v>0</v>
      </c>
      <c r="K448">
        <v>1</v>
      </c>
    </row>
    <row r="449" spans="1:11" x14ac:dyDescent="0.25">
      <c r="A449" s="9" t="s">
        <v>52</v>
      </c>
      <c r="B449" s="9" t="s">
        <v>23</v>
      </c>
      <c r="C449" s="10">
        <v>45999</v>
      </c>
      <c r="D449" s="10">
        <v>45999</v>
      </c>
      <c r="E449" s="9" t="s">
        <v>761</v>
      </c>
      <c r="F449" s="9" t="s">
        <v>32</v>
      </c>
      <c r="G449" s="9" t="s">
        <v>432</v>
      </c>
      <c r="H449" s="11">
        <v>550.15</v>
      </c>
      <c r="I449" s="11">
        <v>550.15</v>
      </c>
      <c r="J449" s="11">
        <v>0</v>
      </c>
      <c r="K449">
        <v>1</v>
      </c>
    </row>
    <row r="450" spans="1:11" x14ac:dyDescent="0.25">
      <c r="A450" s="9" t="s">
        <v>52</v>
      </c>
      <c r="B450" s="9" t="s">
        <v>23</v>
      </c>
      <c r="C450" s="10">
        <v>45999</v>
      </c>
      <c r="D450" s="10">
        <v>45999</v>
      </c>
      <c r="E450" s="9" t="s">
        <v>762</v>
      </c>
      <c r="F450" s="9" t="s">
        <v>32</v>
      </c>
      <c r="G450" s="9" t="s">
        <v>196</v>
      </c>
      <c r="H450" s="11">
        <v>1292.1500000000001</v>
      </c>
      <c r="I450" s="11">
        <v>1292.1500000000001</v>
      </c>
      <c r="J450" s="11">
        <v>0</v>
      </c>
      <c r="K450">
        <v>1</v>
      </c>
    </row>
    <row r="451" spans="1:11" x14ac:dyDescent="0.25">
      <c r="A451" s="9" t="s">
        <v>52</v>
      </c>
      <c r="B451" s="9" t="s">
        <v>23</v>
      </c>
      <c r="C451" s="10">
        <v>45999</v>
      </c>
      <c r="D451" s="10">
        <v>45999</v>
      </c>
      <c r="E451" s="9" t="s">
        <v>763</v>
      </c>
      <c r="F451" s="9" t="s">
        <v>32</v>
      </c>
      <c r="G451" s="9" t="s">
        <v>764</v>
      </c>
      <c r="H451" s="11">
        <v>29625.43</v>
      </c>
      <c r="I451" s="11">
        <v>29625.43</v>
      </c>
      <c r="J451" s="11">
        <v>0</v>
      </c>
      <c r="K451">
        <v>1</v>
      </c>
    </row>
    <row r="452" spans="1:11" x14ac:dyDescent="0.25">
      <c r="A452" s="9" t="s">
        <v>52</v>
      </c>
      <c r="B452" s="9" t="s">
        <v>23</v>
      </c>
      <c r="C452" s="10">
        <v>45999</v>
      </c>
      <c r="D452" s="10">
        <v>45999</v>
      </c>
      <c r="E452" s="9" t="s">
        <v>765</v>
      </c>
      <c r="F452" s="9" t="s">
        <v>32</v>
      </c>
      <c r="G452" s="9" t="s">
        <v>651</v>
      </c>
      <c r="H452" s="11">
        <v>800.76</v>
      </c>
      <c r="I452" s="11">
        <v>800.76</v>
      </c>
      <c r="J452" s="11">
        <v>0</v>
      </c>
      <c r="K452">
        <v>1</v>
      </c>
    </row>
    <row r="453" spans="1:11" x14ac:dyDescent="0.25">
      <c r="A453" s="9" t="s">
        <v>52</v>
      </c>
      <c r="B453" s="9" t="s">
        <v>23</v>
      </c>
      <c r="C453" s="10">
        <v>45999</v>
      </c>
      <c r="D453" s="10">
        <v>45999</v>
      </c>
      <c r="E453" s="9" t="s">
        <v>766</v>
      </c>
      <c r="F453" s="9" t="s">
        <v>32</v>
      </c>
      <c r="G453" s="9" t="s">
        <v>375</v>
      </c>
      <c r="H453" s="11">
        <v>1127.06</v>
      </c>
      <c r="I453" s="11">
        <v>1127.06</v>
      </c>
      <c r="J453" s="11">
        <v>0</v>
      </c>
      <c r="K453">
        <v>1</v>
      </c>
    </row>
    <row r="454" spans="1:11" x14ac:dyDescent="0.25">
      <c r="A454" s="9" t="s">
        <v>52</v>
      </c>
      <c r="B454" s="9" t="s">
        <v>23</v>
      </c>
      <c r="C454" s="10">
        <v>45999</v>
      </c>
      <c r="D454" s="10">
        <v>45999</v>
      </c>
      <c r="E454" s="9" t="s">
        <v>767</v>
      </c>
      <c r="F454" s="9" t="s">
        <v>32</v>
      </c>
      <c r="G454" s="9" t="s">
        <v>768</v>
      </c>
      <c r="H454" s="11">
        <v>1287.56</v>
      </c>
      <c r="I454" s="11">
        <v>1287.56</v>
      </c>
      <c r="J454" s="11">
        <v>0</v>
      </c>
      <c r="K454">
        <v>1</v>
      </c>
    </row>
    <row r="455" spans="1:11" x14ac:dyDescent="0.25">
      <c r="A455" s="9" t="s">
        <v>52</v>
      </c>
      <c r="B455" s="9" t="s">
        <v>23</v>
      </c>
      <c r="C455" s="10">
        <v>45999</v>
      </c>
      <c r="D455" s="10">
        <v>45999</v>
      </c>
      <c r="E455" s="9" t="s">
        <v>769</v>
      </c>
      <c r="F455" s="9" t="s">
        <v>32</v>
      </c>
      <c r="G455" s="9" t="s">
        <v>770</v>
      </c>
      <c r="H455" s="11">
        <v>951.4</v>
      </c>
      <c r="I455" s="11">
        <v>951.4</v>
      </c>
      <c r="J455" s="11">
        <v>0</v>
      </c>
      <c r="K455">
        <v>1</v>
      </c>
    </row>
    <row r="456" spans="1:11" x14ac:dyDescent="0.25">
      <c r="A456" s="9" t="s">
        <v>52</v>
      </c>
      <c r="B456" s="9" t="s">
        <v>23</v>
      </c>
      <c r="C456" s="10">
        <v>45999</v>
      </c>
      <c r="D456" s="10">
        <v>45999</v>
      </c>
      <c r="E456" s="9" t="s">
        <v>771</v>
      </c>
      <c r="F456" s="9" t="s">
        <v>32</v>
      </c>
      <c r="G456" s="9" t="s">
        <v>70</v>
      </c>
      <c r="H456" s="11">
        <v>971.09</v>
      </c>
      <c r="I456" s="11">
        <v>971.09</v>
      </c>
      <c r="J456" s="11">
        <v>0</v>
      </c>
      <c r="K456">
        <v>1</v>
      </c>
    </row>
    <row r="457" spans="1:11" x14ac:dyDescent="0.25">
      <c r="A457" s="9" t="s">
        <v>52</v>
      </c>
      <c r="B457" s="9" t="s">
        <v>23</v>
      </c>
      <c r="C457" s="10">
        <v>45999</v>
      </c>
      <c r="D457" s="10">
        <v>45999</v>
      </c>
      <c r="E457" s="9" t="s">
        <v>772</v>
      </c>
      <c r="F457" s="9" t="s">
        <v>32</v>
      </c>
      <c r="G457" s="9" t="s">
        <v>411</v>
      </c>
      <c r="H457" s="11">
        <v>889.29</v>
      </c>
      <c r="I457" s="11">
        <v>889.29</v>
      </c>
      <c r="J457" s="11">
        <v>0</v>
      </c>
      <c r="K457">
        <v>1</v>
      </c>
    </row>
    <row r="458" spans="1:11" x14ac:dyDescent="0.25">
      <c r="A458" s="9" t="s">
        <v>52</v>
      </c>
      <c r="B458" s="9" t="s">
        <v>23</v>
      </c>
      <c r="C458" s="10">
        <v>45999</v>
      </c>
      <c r="D458" s="10">
        <v>45999</v>
      </c>
      <c r="E458" s="9" t="s">
        <v>773</v>
      </c>
      <c r="F458" s="9" t="s">
        <v>32</v>
      </c>
      <c r="G458" s="9" t="s">
        <v>774</v>
      </c>
      <c r="H458" s="11">
        <v>1060.26</v>
      </c>
      <c r="I458" s="11">
        <v>1060.26</v>
      </c>
      <c r="J458" s="11">
        <v>0</v>
      </c>
      <c r="K458">
        <v>1</v>
      </c>
    </row>
    <row r="459" spans="1:11" x14ac:dyDescent="0.25">
      <c r="A459" s="9" t="s">
        <v>52</v>
      </c>
      <c r="B459" s="9" t="s">
        <v>23</v>
      </c>
      <c r="C459" s="10">
        <v>45999</v>
      </c>
      <c r="D459" s="10">
        <v>45999</v>
      </c>
      <c r="E459" s="9" t="s">
        <v>775</v>
      </c>
      <c r="F459" s="9" t="s">
        <v>32</v>
      </c>
      <c r="G459" s="9" t="s">
        <v>228</v>
      </c>
      <c r="H459" s="11">
        <v>8321.5499999999993</v>
      </c>
      <c r="I459" s="11">
        <v>8321.5499999999993</v>
      </c>
      <c r="J459" s="11">
        <v>0</v>
      </c>
      <c r="K459">
        <v>1</v>
      </c>
    </row>
    <row r="460" spans="1:11" x14ac:dyDescent="0.25">
      <c r="A460" s="9" t="s">
        <v>52</v>
      </c>
      <c r="B460" s="9" t="s">
        <v>23</v>
      </c>
      <c r="C460" s="10">
        <v>45999</v>
      </c>
      <c r="D460" s="10">
        <v>45999</v>
      </c>
      <c r="E460" s="9" t="s">
        <v>776</v>
      </c>
      <c r="F460" s="9" t="s">
        <v>32</v>
      </c>
      <c r="G460" s="9" t="s">
        <v>509</v>
      </c>
      <c r="H460" s="11">
        <v>1049.2</v>
      </c>
      <c r="I460" s="11">
        <v>1049.2</v>
      </c>
      <c r="J460" s="11">
        <v>0</v>
      </c>
      <c r="K460">
        <v>1</v>
      </c>
    </row>
    <row r="461" spans="1:11" x14ac:dyDescent="0.25">
      <c r="A461" s="9" t="s">
        <v>52</v>
      </c>
      <c r="B461" s="9" t="s">
        <v>23</v>
      </c>
      <c r="C461" s="10">
        <v>45999</v>
      </c>
      <c r="D461" s="10">
        <v>45999</v>
      </c>
      <c r="E461" s="9" t="s">
        <v>777</v>
      </c>
      <c r="F461" s="9" t="s">
        <v>32</v>
      </c>
      <c r="G461" s="9" t="s">
        <v>108</v>
      </c>
      <c r="H461" s="11">
        <v>1116.06</v>
      </c>
      <c r="I461" s="11">
        <v>1116.06</v>
      </c>
      <c r="J461" s="11">
        <v>0</v>
      </c>
      <c r="K461">
        <v>1</v>
      </c>
    </row>
    <row r="462" spans="1:11" x14ac:dyDescent="0.25">
      <c r="A462" s="9" t="s">
        <v>52</v>
      </c>
      <c r="B462" s="9" t="s">
        <v>23</v>
      </c>
      <c r="C462" s="10">
        <v>45999</v>
      </c>
      <c r="D462" s="10">
        <v>45999</v>
      </c>
      <c r="E462" s="9" t="s">
        <v>778</v>
      </c>
      <c r="F462" s="9" t="s">
        <v>32</v>
      </c>
      <c r="G462" s="9" t="s">
        <v>779</v>
      </c>
      <c r="H462" s="11">
        <v>876.85</v>
      </c>
      <c r="I462" s="11">
        <v>876.85</v>
      </c>
      <c r="J462" s="11">
        <v>0</v>
      </c>
      <c r="K462">
        <v>1</v>
      </c>
    </row>
    <row r="463" spans="1:11" x14ac:dyDescent="0.25">
      <c r="A463" s="9" t="s">
        <v>52</v>
      </c>
      <c r="B463" s="9" t="s">
        <v>23</v>
      </c>
      <c r="C463" s="10">
        <v>45999</v>
      </c>
      <c r="D463" s="10">
        <v>45999</v>
      </c>
      <c r="E463" s="9" t="s">
        <v>780</v>
      </c>
      <c r="F463" s="9" t="s">
        <v>32</v>
      </c>
      <c r="G463" s="9" t="s">
        <v>190</v>
      </c>
      <c r="H463" s="11">
        <v>1093.02</v>
      </c>
      <c r="I463" s="11">
        <v>1093.02</v>
      </c>
      <c r="J463" s="11">
        <v>0</v>
      </c>
      <c r="K463">
        <v>1</v>
      </c>
    </row>
    <row r="464" spans="1:11" x14ac:dyDescent="0.25">
      <c r="A464" s="9" t="s">
        <v>52</v>
      </c>
      <c r="B464" s="9" t="s">
        <v>55</v>
      </c>
      <c r="C464" s="10">
        <v>46000</v>
      </c>
      <c r="D464" s="10">
        <v>46000</v>
      </c>
      <c r="E464" s="9" t="s">
        <v>781</v>
      </c>
      <c r="F464" s="9" t="s">
        <v>57</v>
      </c>
      <c r="G464" s="9" t="s">
        <v>464</v>
      </c>
      <c r="H464" s="11">
        <v>6070.35</v>
      </c>
      <c r="I464" s="11">
        <v>6070.35</v>
      </c>
      <c r="J464" s="11">
        <v>0</v>
      </c>
      <c r="K464">
        <v>1</v>
      </c>
    </row>
    <row r="465" spans="1:11" x14ac:dyDescent="0.25">
      <c r="A465" s="9" t="s">
        <v>52</v>
      </c>
      <c r="B465" s="9" t="s">
        <v>23</v>
      </c>
      <c r="C465" s="10">
        <v>46000</v>
      </c>
      <c r="D465" s="10">
        <v>46000</v>
      </c>
      <c r="E465" s="9" t="s">
        <v>782</v>
      </c>
      <c r="F465" s="9" t="s">
        <v>32</v>
      </c>
      <c r="G465" s="9" t="s">
        <v>268</v>
      </c>
      <c r="H465" s="11">
        <v>18200.240000000002</v>
      </c>
      <c r="I465" s="11">
        <v>18200.240000000002</v>
      </c>
      <c r="J465" s="11">
        <v>0</v>
      </c>
      <c r="K465">
        <v>1</v>
      </c>
    </row>
    <row r="466" spans="1:11" x14ac:dyDescent="0.25">
      <c r="A466" s="9" t="s">
        <v>52</v>
      </c>
      <c r="B466" s="9" t="s">
        <v>55</v>
      </c>
      <c r="C466" s="10">
        <v>46000</v>
      </c>
      <c r="D466" s="10">
        <v>46000</v>
      </c>
      <c r="E466" s="9" t="s">
        <v>783</v>
      </c>
      <c r="F466" s="9" t="s">
        <v>57</v>
      </c>
      <c r="G466" s="9" t="s">
        <v>784</v>
      </c>
      <c r="H466" s="11">
        <v>2373.7399999999998</v>
      </c>
      <c r="I466" s="11">
        <v>2373.7399999999998</v>
      </c>
      <c r="J466" s="11">
        <v>0</v>
      </c>
      <c r="K466">
        <v>1</v>
      </c>
    </row>
    <row r="467" spans="1:11" x14ac:dyDescent="0.25">
      <c r="A467" s="9" t="s">
        <v>52</v>
      </c>
      <c r="B467" s="9" t="s">
        <v>23</v>
      </c>
      <c r="C467" s="10">
        <v>46000</v>
      </c>
      <c r="D467" s="10">
        <v>46000</v>
      </c>
      <c r="E467" s="9" t="s">
        <v>785</v>
      </c>
      <c r="F467" s="9" t="s">
        <v>141</v>
      </c>
      <c r="G467" s="9" t="s">
        <v>786</v>
      </c>
      <c r="H467" s="11">
        <v>-10621.94</v>
      </c>
      <c r="I467" s="11">
        <v>-10621.94</v>
      </c>
      <c r="J467" s="11">
        <v>0</v>
      </c>
      <c r="K467">
        <v>1</v>
      </c>
    </row>
    <row r="468" spans="1:11" x14ac:dyDescent="0.25">
      <c r="A468" s="9" t="s">
        <v>52</v>
      </c>
      <c r="B468" s="9" t="s">
        <v>23</v>
      </c>
      <c r="C468" s="10">
        <v>46000</v>
      </c>
      <c r="D468" s="10">
        <v>46000</v>
      </c>
      <c r="E468" s="9" t="s">
        <v>787</v>
      </c>
      <c r="F468" s="9" t="s">
        <v>32</v>
      </c>
      <c r="G468" s="9" t="s">
        <v>788</v>
      </c>
      <c r="H468" s="11">
        <v>215.44</v>
      </c>
      <c r="I468" s="11">
        <v>215.44</v>
      </c>
      <c r="J468" s="11">
        <v>0</v>
      </c>
      <c r="K468">
        <v>1</v>
      </c>
    </row>
    <row r="469" spans="1:11" x14ac:dyDescent="0.25">
      <c r="A469" s="9" t="s">
        <v>52</v>
      </c>
      <c r="B469" s="9" t="s">
        <v>23</v>
      </c>
      <c r="C469" s="10">
        <v>46000</v>
      </c>
      <c r="D469" s="10">
        <v>46000</v>
      </c>
      <c r="E469" s="9" t="s">
        <v>789</v>
      </c>
      <c r="F469" s="9" t="s">
        <v>141</v>
      </c>
      <c r="G469" s="9" t="s">
        <v>790</v>
      </c>
      <c r="H469" s="11">
        <v>-43721.02</v>
      </c>
      <c r="I469" s="11">
        <v>-43721.02</v>
      </c>
      <c r="J469" s="11">
        <v>0</v>
      </c>
      <c r="K469">
        <v>1</v>
      </c>
    </row>
    <row r="470" spans="1:11" x14ac:dyDescent="0.25">
      <c r="A470" s="9" t="s">
        <v>52</v>
      </c>
      <c r="B470" s="9" t="s">
        <v>23</v>
      </c>
      <c r="C470" s="10">
        <v>46000</v>
      </c>
      <c r="D470" s="10">
        <v>46000</v>
      </c>
      <c r="E470" s="9" t="s">
        <v>791</v>
      </c>
      <c r="F470" s="9" t="s">
        <v>141</v>
      </c>
      <c r="G470" s="9" t="s">
        <v>792</v>
      </c>
      <c r="H470" s="11">
        <v>-106330.08</v>
      </c>
      <c r="I470" s="11">
        <v>-106330.08</v>
      </c>
      <c r="J470" s="11">
        <v>0</v>
      </c>
      <c r="K470">
        <v>1</v>
      </c>
    </row>
    <row r="471" spans="1:11" x14ac:dyDescent="0.25">
      <c r="A471" s="9" t="s">
        <v>52</v>
      </c>
      <c r="B471" s="9" t="s">
        <v>23</v>
      </c>
      <c r="C471" s="10">
        <v>46000</v>
      </c>
      <c r="D471" s="10">
        <v>46000</v>
      </c>
      <c r="E471" s="9" t="s">
        <v>793</v>
      </c>
      <c r="F471" s="9" t="s">
        <v>32</v>
      </c>
      <c r="G471" s="9" t="s">
        <v>420</v>
      </c>
      <c r="H471" s="11">
        <v>430.74</v>
      </c>
      <c r="I471" s="11">
        <v>430.74</v>
      </c>
      <c r="J471" s="11">
        <v>0</v>
      </c>
      <c r="K471">
        <v>1</v>
      </c>
    </row>
    <row r="472" spans="1:11" x14ac:dyDescent="0.25">
      <c r="A472" s="9" t="s">
        <v>52</v>
      </c>
      <c r="B472" s="9" t="s">
        <v>23</v>
      </c>
      <c r="C472" s="10">
        <v>46000</v>
      </c>
      <c r="D472" s="10">
        <v>46000</v>
      </c>
      <c r="E472" s="9" t="s">
        <v>794</v>
      </c>
      <c r="F472" s="9" t="s">
        <v>141</v>
      </c>
      <c r="G472" s="9" t="s">
        <v>795</v>
      </c>
      <c r="H472" s="11">
        <v>-517044.24</v>
      </c>
      <c r="I472" s="11">
        <v>-517044.24</v>
      </c>
      <c r="J472" s="11">
        <v>0</v>
      </c>
      <c r="K472">
        <v>1</v>
      </c>
    </row>
    <row r="473" spans="1:11" x14ac:dyDescent="0.25">
      <c r="A473" s="9" t="s">
        <v>52</v>
      </c>
      <c r="B473" s="9" t="s">
        <v>23</v>
      </c>
      <c r="C473" s="10">
        <v>46000</v>
      </c>
      <c r="D473" s="10">
        <v>46000</v>
      </c>
      <c r="E473" s="9" t="s">
        <v>796</v>
      </c>
      <c r="F473" s="9" t="s">
        <v>32</v>
      </c>
      <c r="G473" s="9" t="s">
        <v>281</v>
      </c>
      <c r="H473" s="11">
        <v>11141.57</v>
      </c>
      <c r="I473" s="11">
        <v>11141.57</v>
      </c>
      <c r="J473" s="11">
        <v>0</v>
      </c>
      <c r="K473">
        <v>1</v>
      </c>
    </row>
    <row r="474" spans="1:11" x14ac:dyDescent="0.25">
      <c r="A474" s="9" t="s">
        <v>52</v>
      </c>
      <c r="B474" s="9" t="s">
        <v>23</v>
      </c>
      <c r="C474" s="10">
        <v>46000</v>
      </c>
      <c r="D474" s="10">
        <v>46000</v>
      </c>
      <c r="E474" s="9" t="s">
        <v>797</v>
      </c>
      <c r="F474" s="9" t="s">
        <v>32</v>
      </c>
      <c r="G474" s="9" t="s">
        <v>230</v>
      </c>
      <c r="H474" s="11">
        <v>3284.88</v>
      </c>
      <c r="I474" s="11">
        <v>3284.88</v>
      </c>
      <c r="J474" s="11">
        <v>0</v>
      </c>
      <c r="K474">
        <v>1</v>
      </c>
    </row>
    <row r="475" spans="1:11" x14ac:dyDescent="0.25">
      <c r="A475" s="9" t="s">
        <v>52</v>
      </c>
      <c r="B475" s="9" t="s">
        <v>23</v>
      </c>
      <c r="C475" s="10">
        <v>46000</v>
      </c>
      <c r="D475" s="10">
        <v>46000</v>
      </c>
      <c r="E475" s="9" t="s">
        <v>798</v>
      </c>
      <c r="F475" s="9" t="s">
        <v>32</v>
      </c>
      <c r="G475" s="9" t="s">
        <v>391</v>
      </c>
      <c r="H475" s="11">
        <v>4047.58</v>
      </c>
      <c r="I475" s="11">
        <v>4047.58</v>
      </c>
      <c r="J475" s="11">
        <v>0</v>
      </c>
      <c r="K475">
        <v>1</v>
      </c>
    </row>
    <row r="476" spans="1:11" x14ac:dyDescent="0.25">
      <c r="A476" s="9" t="s">
        <v>52</v>
      </c>
      <c r="B476" s="9" t="s">
        <v>23</v>
      </c>
      <c r="C476" s="10">
        <v>46000</v>
      </c>
      <c r="D476" s="10">
        <v>46000</v>
      </c>
      <c r="E476" s="9" t="s">
        <v>799</v>
      </c>
      <c r="F476" s="9" t="s">
        <v>32</v>
      </c>
      <c r="G476" s="9" t="s">
        <v>281</v>
      </c>
      <c r="H476" s="11">
        <v>4773.72</v>
      </c>
      <c r="I476" s="11">
        <v>4773.72</v>
      </c>
      <c r="J476" s="11">
        <v>0</v>
      </c>
      <c r="K476">
        <v>1</v>
      </c>
    </row>
    <row r="477" spans="1:11" x14ac:dyDescent="0.25">
      <c r="A477" s="9" t="s">
        <v>52</v>
      </c>
      <c r="B477" s="9" t="s">
        <v>23</v>
      </c>
      <c r="C477" s="10">
        <v>46000</v>
      </c>
      <c r="D477" s="10">
        <v>46000</v>
      </c>
      <c r="E477" s="9" t="s">
        <v>800</v>
      </c>
      <c r="F477" s="9" t="s">
        <v>32</v>
      </c>
      <c r="G477" s="9" t="s">
        <v>116</v>
      </c>
      <c r="H477" s="11">
        <v>4007.27</v>
      </c>
      <c r="I477" s="11">
        <v>4007.27</v>
      </c>
      <c r="J477" s="11">
        <v>0</v>
      </c>
      <c r="K477">
        <v>1</v>
      </c>
    </row>
    <row r="478" spans="1:11" x14ac:dyDescent="0.25">
      <c r="A478" s="9" t="s">
        <v>52</v>
      </c>
      <c r="B478" s="9" t="s">
        <v>23</v>
      </c>
      <c r="C478" s="10">
        <v>46000</v>
      </c>
      <c r="D478" s="10">
        <v>46000</v>
      </c>
      <c r="E478" s="9" t="s">
        <v>801</v>
      </c>
      <c r="F478" s="9" t="s">
        <v>32</v>
      </c>
      <c r="G478" s="9" t="s">
        <v>245</v>
      </c>
      <c r="H478" s="11">
        <v>7537.75</v>
      </c>
      <c r="I478" s="11">
        <v>7537.75</v>
      </c>
      <c r="J478" s="11">
        <v>0</v>
      </c>
      <c r="K478">
        <v>1</v>
      </c>
    </row>
    <row r="479" spans="1:11" x14ac:dyDescent="0.25">
      <c r="A479" s="9" t="s">
        <v>52</v>
      </c>
      <c r="B479" s="9" t="s">
        <v>23</v>
      </c>
      <c r="C479" s="10">
        <v>46000</v>
      </c>
      <c r="D479" s="10">
        <v>46000</v>
      </c>
      <c r="E479" s="9" t="s">
        <v>802</v>
      </c>
      <c r="F479" s="9" t="s">
        <v>32</v>
      </c>
      <c r="G479" s="9" t="s">
        <v>66</v>
      </c>
      <c r="H479" s="11">
        <v>6938.67</v>
      </c>
      <c r="I479" s="11">
        <v>6938.67</v>
      </c>
      <c r="J479" s="11">
        <v>0</v>
      </c>
      <c r="K479">
        <v>1</v>
      </c>
    </row>
    <row r="480" spans="1:11" x14ac:dyDescent="0.25">
      <c r="A480" s="9" t="s">
        <v>52</v>
      </c>
      <c r="B480" s="9" t="s">
        <v>23</v>
      </c>
      <c r="C480" s="10">
        <v>46000</v>
      </c>
      <c r="D480" s="10">
        <v>46000</v>
      </c>
      <c r="E480" s="9" t="s">
        <v>803</v>
      </c>
      <c r="F480" s="9" t="s">
        <v>32</v>
      </c>
      <c r="G480" s="9" t="s">
        <v>243</v>
      </c>
      <c r="H480" s="11">
        <v>13699.55</v>
      </c>
      <c r="I480" s="11">
        <v>13699.55</v>
      </c>
      <c r="J480" s="11">
        <v>0</v>
      </c>
      <c r="K480">
        <v>1</v>
      </c>
    </row>
    <row r="481" spans="1:11" x14ac:dyDescent="0.25">
      <c r="A481" s="9" t="s">
        <v>52</v>
      </c>
      <c r="B481" s="9" t="s">
        <v>23</v>
      </c>
      <c r="C481" s="10">
        <v>46000</v>
      </c>
      <c r="D481" s="10">
        <v>46000</v>
      </c>
      <c r="E481" s="9" t="s">
        <v>804</v>
      </c>
      <c r="F481" s="9" t="s">
        <v>32</v>
      </c>
      <c r="G481" s="9" t="s">
        <v>68</v>
      </c>
      <c r="H481" s="11">
        <v>4005.13</v>
      </c>
      <c r="I481" s="11">
        <v>4005.13</v>
      </c>
      <c r="J481" s="11">
        <v>0</v>
      </c>
      <c r="K481">
        <v>1</v>
      </c>
    </row>
    <row r="482" spans="1:11" x14ac:dyDescent="0.25">
      <c r="A482" s="9" t="s">
        <v>52</v>
      </c>
      <c r="B482" s="9" t="s">
        <v>23</v>
      </c>
      <c r="C482" s="10">
        <v>46000</v>
      </c>
      <c r="D482" s="10">
        <v>46000</v>
      </c>
      <c r="E482" s="9" t="s">
        <v>805</v>
      </c>
      <c r="F482" s="9" t="s">
        <v>32</v>
      </c>
      <c r="G482" s="9" t="s">
        <v>442</v>
      </c>
      <c r="H482" s="11">
        <v>2663.6</v>
      </c>
      <c r="I482" s="11">
        <v>2663.6</v>
      </c>
      <c r="J482" s="11">
        <v>0</v>
      </c>
      <c r="K482">
        <v>1</v>
      </c>
    </row>
    <row r="483" spans="1:11" x14ac:dyDescent="0.25">
      <c r="A483" s="9" t="s">
        <v>52</v>
      </c>
      <c r="B483" s="9" t="s">
        <v>23</v>
      </c>
      <c r="C483" s="10">
        <v>46000</v>
      </c>
      <c r="D483" s="10">
        <v>46000</v>
      </c>
      <c r="E483" s="9" t="s">
        <v>806</v>
      </c>
      <c r="F483" s="9" t="s">
        <v>32</v>
      </c>
      <c r="G483" s="9" t="s">
        <v>226</v>
      </c>
      <c r="H483" s="11">
        <v>5330.1</v>
      </c>
      <c r="I483" s="11">
        <v>5330.1</v>
      </c>
      <c r="J483" s="11">
        <v>0</v>
      </c>
      <c r="K483">
        <v>1</v>
      </c>
    </row>
    <row r="484" spans="1:11" x14ac:dyDescent="0.25">
      <c r="A484" s="9" t="s">
        <v>52</v>
      </c>
      <c r="B484" s="9" t="s">
        <v>23</v>
      </c>
      <c r="C484" s="10">
        <v>46000</v>
      </c>
      <c r="D484" s="10">
        <v>46000</v>
      </c>
      <c r="E484" s="9" t="s">
        <v>807</v>
      </c>
      <c r="F484" s="9" t="s">
        <v>32</v>
      </c>
      <c r="G484" s="9" t="s">
        <v>520</v>
      </c>
      <c r="H484" s="11">
        <v>933.49</v>
      </c>
      <c r="I484" s="11">
        <v>933.49</v>
      </c>
      <c r="J484" s="11">
        <v>0</v>
      </c>
      <c r="K484">
        <v>1</v>
      </c>
    </row>
    <row r="485" spans="1:11" x14ac:dyDescent="0.25">
      <c r="A485" s="9" t="s">
        <v>52</v>
      </c>
      <c r="B485" s="9" t="s">
        <v>23</v>
      </c>
      <c r="C485" s="10">
        <v>46000</v>
      </c>
      <c r="D485" s="10">
        <v>46000</v>
      </c>
      <c r="E485" s="9" t="s">
        <v>808</v>
      </c>
      <c r="F485" s="9" t="s">
        <v>32</v>
      </c>
      <c r="G485" s="9" t="s">
        <v>116</v>
      </c>
      <c r="H485" s="11">
        <v>2753.5</v>
      </c>
      <c r="I485" s="11">
        <v>2753.5</v>
      </c>
      <c r="J485" s="11">
        <v>0</v>
      </c>
      <c r="K485">
        <v>1</v>
      </c>
    </row>
    <row r="486" spans="1:11" x14ac:dyDescent="0.25">
      <c r="A486" s="9" t="s">
        <v>52</v>
      </c>
      <c r="B486" s="9" t="s">
        <v>23</v>
      </c>
      <c r="C486" s="10">
        <v>46000</v>
      </c>
      <c r="D486" s="10">
        <v>46000</v>
      </c>
      <c r="E486" s="9" t="s">
        <v>809</v>
      </c>
      <c r="F486" s="9" t="s">
        <v>32</v>
      </c>
      <c r="G486" s="9" t="s">
        <v>239</v>
      </c>
      <c r="H486" s="11">
        <v>3311.5</v>
      </c>
      <c r="I486" s="11">
        <v>3311.5</v>
      </c>
      <c r="J486" s="11">
        <v>0</v>
      </c>
      <c r="K486">
        <v>1</v>
      </c>
    </row>
    <row r="487" spans="1:11" x14ac:dyDescent="0.25">
      <c r="A487" s="9" t="s">
        <v>52</v>
      </c>
      <c r="B487" s="9" t="s">
        <v>23</v>
      </c>
      <c r="C487" s="10">
        <v>46000</v>
      </c>
      <c r="D487" s="10">
        <v>46000</v>
      </c>
      <c r="E487" s="9" t="s">
        <v>810</v>
      </c>
      <c r="F487" s="9" t="s">
        <v>32</v>
      </c>
      <c r="G487" s="9" t="s">
        <v>811</v>
      </c>
      <c r="H487" s="11">
        <v>1531.49</v>
      </c>
      <c r="I487" s="11">
        <v>1531.49</v>
      </c>
      <c r="J487" s="11">
        <v>0</v>
      </c>
      <c r="K487">
        <v>1</v>
      </c>
    </row>
    <row r="488" spans="1:11" x14ac:dyDescent="0.25">
      <c r="A488" s="9" t="s">
        <v>52</v>
      </c>
      <c r="B488" s="9" t="s">
        <v>23</v>
      </c>
      <c r="C488" s="10">
        <v>46000</v>
      </c>
      <c r="D488" s="10">
        <v>46000</v>
      </c>
      <c r="E488" s="9" t="s">
        <v>812</v>
      </c>
      <c r="F488" s="9" t="s">
        <v>32</v>
      </c>
      <c r="G488" s="9" t="s">
        <v>256</v>
      </c>
      <c r="H488" s="11">
        <v>5785.66</v>
      </c>
      <c r="I488" s="11">
        <v>5785.66</v>
      </c>
      <c r="J488" s="11">
        <v>0</v>
      </c>
      <c r="K488">
        <v>1</v>
      </c>
    </row>
    <row r="489" spans="1:11" x14ac:dyDescent="0.25">
      <c r="A489" s="9" t="s">
        <v>52</v>
      </c>
      <c r="B489" s="9" t="s">
        <v>23</v>
      </c>
      <c r="C489" s="10">
        <v>46000</v>
      </c>
      <c r="D489" s="10">
        <v>46000</v>
      </c>
      <c r="E489" s="9" t="s">
        <v>813</v>
      </c>
      <c r="F489" s="9" t="s">
        <v>32</v>
      </c>
      <c r="G489" s="9" t="s">
        <v>814</v>
      </c>
      <c r="H489" s="11">
        <v>1063.8399999999999</v>
      </c>
      <c r="I489" s="11">
        <v>1063.8399999999999</v>
      </c>
      <c r="J489" s="11">
        <v>0</v>
      </c>
      <c r="K489">
        <v>1</v>
      </c>
    </row>
    <row r="490" spans="1:11" x14ac:dyDescent="0.25">
      <c r="A490" s="9" t="s">
        <v>52</v>
      </c>
      <c r="B490" s="9" t="s">
        <v>23</v>
      </c>
      <c r="C490" s="10">
        <v>46000</v>
      </c>
      <c r="D490" s="10">
        <v>46000</v>
      </c>
      <c r="E490" s="9" t="s">
        <v>815</v>
      </c>
      <c r="F490" s="9" t="s">
        <v>32</v>
      </c>
      <c r="G490" s="9" t="s">
        <v>485</v>
      </c>
      <c r="H490" s="11">
        <v>1331.86</v>
      </c>
      <c r="I490" s="11">
        <v>1331.86</v>
      </c>
      <c r="J490" s="11">
        <v>0</v>
      </c>
      <c r="K490">
        <v>1</v>
      </c>
    </row>
    <row r="491" spans="1:11" x14ac:dyDescent="0.25">
      <c r="A491" s="9" t="s">
        <v>52</v>
      </c>
      <c r="B491" s="9" t="s">
        <v>23</v>
      </c>
      <c r="C491" s="10">
        <v>46000</v>
      </c>
      <c r="D491" s="10">
        <v>46000</v>
      </c>
      <c r="E491" s="9" t="s">
        <v>816</v>
      </c>
      <c r="F491" s="9" t="s">
        <v>32</v>
      </c>
      <c r="G491" s="9" t="s">
        <v>218</v>
      </c>
      <c r="H491" s="11">
        <v>1251.07</v>
      </c>
      <c r="I491" s="11">
        <v>1251.07</v>
      </c>
      <c r="J491" s="11">
        <v>0</v>
      </c>
      <c r="K491">
        <v>1</v>
      </c>
    </row>
    <row r="492" spans="1:11" x14ac:dyDescent="0.25">
      <c r="A492" s="9" t="s">
        <v>52</v>
      </c>
      <c r="B492" s="9" t="s">
        <v>23</v>
      </c>
      <c r="C492" s="10">
        <v>46000</v>
      </c>
      <c r="D492" s="10">
        <v>46000</v>
      </c>
      <c r="E492" s="9" t="s">
        <v>817</v>
      </c>
      <c r="F492" s="9" t="s">
        <v>32</v>
      </c>
      <c r="G492" s="9" t="s">
        <v>506</v>
      </c>
      <c r="H492" s="11">
        <v>1117.42</v>
      </c>
      <c r="I492" s="11">
        <v>1117.42</v>
      </c>
      <c r="J492" s="11">
        <v>0</v>
      </c>
      <c r="K492">
        <v>1</v>
      </c>
    </row>
    <row r="493" spans="1:11" x14ac:dyDescent="0.25">
      <c r="A493" s="9" t="s">
        <v>52</v>
      </c>
      <c r="B493" s="9" t="s">
        <v>23</v>
      </c>
      <c r="C493" s="10">
        <v>46000</v>
      </c>
      <c r="D493" s="10">
        <v>46000</v>
      </c>
      <c r="E493" s="9" t="s">
        <v>818</v>
      </c>
      <c r="F493" s="9" t="s">
        <v>32</v>
      </c>
      <c r="G493" s="9" t="s">
        <v>72</v>
      </c>
      <c r="H493" s="11">
        <v>2932.02</v>
      </c>
      <c r="I493" s="11">
        <v>2932.02</v>
      </c>
      <c r="J493" s="11">
        <v>0</v>
      </c>
      <c r="K493">
        <v>1</v>
      </c>
    </row>
    <row r="494" spans="1:11" x14ac:dyDescent="0.25">
      <c r="A494" s="9" t="s">
        <v>52</v>
      </c>
      <c r="B494" s="9" t="s">
        <v>23</v>
      </c>
      <c r="C494" s="10">
        <v>46000</v>
      </c>
      <c r="D494" s="10">
        <v>46000</v>
      </c>
      <c r="E494" s="9" t="s">
        <v>819</v>
      </c>
      <c r="F494" s="9" t="s">
        <v>32</v>
      </c>
      <c r="G494" s="9" t="s">
        <v>820</v>
      </c>
      <c r="H494" s="11">
        <v>3117.86</v>
      </c>
      <c r="I494" s="11">
        <v>3117.86</v>
      </c>
      <c r="J494" s="11">
        <v>0</v>
      </c>
      <c r="K494">
        <v>1</v>
      </c>
    </row>
    <row r="495" spans="1:11" x14ac:dyDescent="0.25">
      <c r="A495" s="9" t="s">
        <v>52</v>
      </c>
      <c r="B495" s="9" t="s">
        <v>23</v>
      </c>
      <c r="C495" s="10">
        <v>46000</v>
      </c>
      <c r="D495" s="10">
        <v>46000</v>
      </c>
      <c r="E495" s="9" t="s">
        <v>821</v>
      </c>
      <c r="F495" s="9" t="s">
        <v>32</v>
      </c>
      <c r="G495" s="9" t="s">
        <v>586</v>
      </c>
      <c r="H495" s="11">
        <v>3126.1</v>
      </c>
      <c r="I495" s="11">
        <v>3126.1</v>
      </c>
      <c r="J495" s="11">
        <v>0</v>
      </c>
      <c r="K495">
        <v>1</v>
      </c>
    </row>
    <row r="496" spans="1:11" x14ac:dyDescent="0.25">
      <c r="A496" s="9" t="s">
        <v>52</v>
      </c>
      <c r="B496" s="9" t="s">
        <v>23</v>
      </c>
      <c r="C496" s="10">
        <v>46000</v>
      </c>
      <c r="D496" s="10">
        <v>46000</v>
      </c>
      <c r="E496" s="9" t="s">
        <v>822</v>
      </c>
      <c r="F496" s="9" t="s">
        <v>32</v>
      </c>
      <c r="G496" s="9" t="s">
        <v>823</v>
      </c>
      <c r="H496" s="11">
        <v>3306.25</v>
      </c>
      <c r="I496" s="11">
        <v>3306.25</v>
      </c>
      <c r="J496" s="11">
        <v>0</v>
      </c>
      <c r="K496">
        <v>1</v>
      </c>
    </row>
    <row r="497" spans="1:11" x14ac:dyDescent="0.25">
      <c r="A497" s="9" t="s">
        <v>52</v>
      </c>
      <c r="B497" s="9" t="s">
        <v>23</v>
      </c>
      <c r="C497" s="10">
        <v>46000</v>
      </c>
      <c r="D497" s="10">
        <v>46000</v>
      </c>
      <c r="E497" s="9" t="s">
        <v>824</v>
      </c>
      <c r="F497" s="9" t="s">
        <v>32</v>
      </c>
      <c r="G497" s="9" t="s">
        <v>825</v>
      </c>
      <c r="H497" s="11">
        <v>3707.08</v>
      </c>
      <c r="I497" s="11">
        <v>3707.08</v>
      </c>
      <c r="J497" s="11">
        <v>0</v>
      </c>
      <c r="K497">
        <v>1</v>
      </c>
    </row>
    <row r="498" spans="1:11" x14ac:dyDescent="0.25">
      <c r="A498" s="9" t="s">
        <v>52</v>
      </c>
      <c r="B498" s="9" t="s">
        <v>23</v>
      </c>
      <c r="C498" s="10">
        <v>46000</v>
      </c>
      <c r="D498" s="10">
        <v>46000</v>
      </c>
      <c r="E498" s="9" t="s">
        <v>826</v>
      </c>
      <c r="F498" s="9" t="s">
        <v>32</v>
      </c>
      <c r="G498" s="9" t="s">
        <v>124</v>
      </c>
      <c r="H498" s="11">
        <v>3855.29</v>
      </c>
      <c r="I498" s="11">
        <v>3855.29</v>
      </c>
      <c r="J498" s="11">
        <v>0</v>
      </c>
      <c r="K498">
        <v>1</v>
      </c>
    </row>
    <row r="499" spans="1:11" x14ac:dyDescent="0.25">
      <c r="A499" s="9" t="s">
        <v>52</v>
      </c>
      <c r="B499" s="9" t="s">
        <v>23</v>
      </c>
      <c r="C499" s="10">
        <v>46000</v>
      </c>
      <c r="D499" s="10">
        <v>46000</v>
      </c>
      <c r="E499" s="9" t="s">
        <v>827</v>
      </c>
      <c r="F499" s="9" t="s">
        <v>32</v>
      </c>
      <c r="G499" s="9" t="s">
        <v>828</v>
      </c>
      <c r="H499" s="11">
        <v>4767.34</v>
      </c>
      <c r="I499" s="11">
        <v>4767.34</v>
      </c>
      <c r="J499" s="11">
        <v>0</v>
      </c>
      <c r="K499">
        <v>1</v>
      </c>
    </row>
    <row r="500" spans="1:11" x14ac:dyDescent="0.25">
      <c r="A500" s="9" t="s">
        <v>52</v>
      </c>
      <c r="B500" s="9" t="s">
        <v>23</v>
      </c>
      <c r="C500" s="10">
        <v>46000</v>
      </c>
      <c r="D500" s="10">
        <v>46000</v>
      </c>
      <c r="E500" s="9" t="s">
        <v>829</v>
      </c>
      <c r="F500" s="9" t="s">
        <v>32</v>
      </c>
      <c r="G500" s="9" t="s">
        <v>386</v>
      </c>
      <c r="H500" s="11">
        <v>5087.84</v>
      </c>
      <c r="I500" s="11">
        <v>5087.84</v>
      </c>
      <c r="J500" s="11">
        <v>0</v>
      </c>
      <c r="K500">
        <v>1</v>
      </c>
    </row>
    <row r="501" spans="1:11" x14ac:dyDescent="0.25">
      <c r="A501" s="9" t="s">
        <v>52</v>
      </c>
      <c r="B501" s="9" t="s">
        <v>23</v>
      </c>
      <c r="C501" s="10">
        <v>46000</v>
      </c>
      <c r="D501" s="10">
        <v>46000</v>
      </c>
      <c r="E501" s="9" t="s">
        <v>830</v>
      </c>
      <c r="F501" s="9" t="s">
        <v>32</v>
      </c>
      <c r="G501" s="9" t="s">
        <v>831</v>
      </c>
      <c r="H501" s="11">
        <v>5102.29</v>
      </c>
      <c r="I501" s="11">
        <v>5102.29</v>
      </c>
      <c r="J501" s="11">
        <v>0</v>
      </c>
      <c r="K501">
        <v>1</v>
      </c>
    </row>
    <row r="502" spans="1:11" x14ac:dyDescent="0.25">
      <c r="A502" s="9" t="s">
        <v>52</v>
      </c>
      <c r="B502" s="9" t="s">
        <v>23</v>
      </c>
      <c r="C502" s="10">
        <v>46000</v>
      </c>
      <c r="D502" s="10">
        <v>46000</v>
      </c>
      <c r="E502" s="9" t="s">
        <v>832</v>
      </c>
      <c r="F502" s="9" t="s">
        <v>32</v>
      </c>
      <c r="G502" s="9" t="s">
        <v>393</v>
      </c>
      <c r="H502" s="11">
        <v>5502.75</v>
      </c>
      <c r="I502" s="11">
        <v>5502.75</v>
      </c>
      <c r="J502" s="11">
        <v>0</v>
      </c>
      <c r="K502">
        <v>1</v>
      </c>
    </row>
    <row r="503" spans="1:11" x14ac:dyDescent="0.25">
      <c r="A503" s="9" t="s">
        <v>52</v>
      </c>
      <c r="B503" s="9" t="s">
        <v>23</v>
      </c>
      <c r="C503" s="10">
        <v>46000</v>
      </c>
      <c r="D503" s="10">
        <v>46000</v>
      </c>
      <c r="E503" s="9" t="s">
        <v>833</v>
      </c>
      <c r="F503" s="9" t="s">
        <v>32</v>
      </c>
      <c r="G503" s="9" t="s">
        <v>834</v>
      </c>
      <c r="H503" s="11">
        <v>7849.74</v>
      </c>
      <c r="I503" s="11">
        <v>7849.74</v>
      </c>
      <c r="J503" s="11">
        <v>0</v>
      </c>
      <c r="K503">
        <v>1</v>
      </c>
    </row>
    <row r="504" spans="1:11" x14ac:dyDescent="0.25">
      <c r="A504" s="9" t="s">
        <v>52</v>
      </c>
      <c r="B504" s="9" t="s">
        <v>23</v>
      </c>
      <c r="C504" s="10">
        <v>46000</v>
      </c>
      <c r="D504" s="10">
        <v>46000</v>
      </c>
      <c r="E504" s="9" t="s">
        <v>835</v>
      </c>
      <c r="F504" s="9" t="s">
        <v>32</v>
      </c>
      <c r="G504" s="9" t="s">
        <v>834</v>
      </c>
      <c r="H504" s="11">
        <v>9391.83</v>
      </c>
      <c r="I504" s="11">
        <v>9391.83</v>
      </c>
      <c r="J504" s="11">
        <v>0</v>
      </c>
      <c r="K504">
        <v>1</v>
      </c>
    </row>
    <row r="505" spans="1:11" x14ac:dyDescent="0.25">
      <c r="A505" s="9" t="s">
        <v>52</v>
      </c>
      <c r="B505" s="9" t="s">
        <v>23</v>
      </c>
      <c r="C505" s="10">
        <v>46000</v>
      </c>
      <c r="D505" s="10">
        <v>46000</v>
      </c>
      <c r="E505" s="9" t="s">
        <v>836</v>
      </c>
      <c r="F505" s="9" t="s">
        <v>32</v>
      </c>
      <c r="G505" s="9" t="s">
        <v>837</v>
      </c>
      <c r="H505" s="11">
        <v>3505.91</v>
      </c>
      <c r="I505" s="11">
        <v>3505.91</v>
      </c>
      <c r="J505" s="11">
        <v>0</v>
      </c>
      <c r="K505">
        <v>1</v>
      </c>
    </row>
    <row r="506" spans="1:11" x14ac:dyDescent="0.25">
      <c r="A506" s="9" t="s">
        <v>52</v>
      </c>
      <c r="B506" s="9" t="s">
        <v>23</v>
      </c>
      <c r="C506" s="10">
        <v>46000</v>
      </c>
      <c r="D506" s="10">
        <v>46000</v>
      </c>
      <c r="E506" s="9" t="s">
        <v>838</v>
      </c>
      <c r="F506" s="9" t="s">
        <v>32</v>
      </c>
      <c r="G506" s="9" t="s">
        <v>82</v>
      </c>
      <c r="H506" s="11">
        <v>972.72</v>
      </c>
      <c r="I506" s="11">
        <v>972.72</v>
      </c>
      <c r="J506" s="11">
        <v>0</v>
      </c>
      <c r="K506">
        <v>1</v>
      </c>
    </row>
    <row r="507" spans="1:11" x14ac:dyDescent="0.25">
      <c r="A507" s="9" t="s">
        <v>52</v>
      </c>
      <c r="B507" s="9" t="s">
        <v>23</v>
      </c>
      <c r="C507" s="10">
        <v>46000</v>
      </c>
      <c r="D507" s="10">
        <v>46000</v>
      </c>
      <c r="E507" s="9" t="s">
        <v>839</v>
      </c>
      <c r="F507" s="9" t="s">
        <v>32</v>
      </c>
      <c r="G507" s="9" t="s">
        <v>243</v>
      </c>
      <c r="H507" s="11">
        <v>13798.33</v>
      </c>
      <c r="I507" s="11">
        <v>13798.33</v>
      </c>
      <c r="J507" s="11">
        <v>0</v>
      </c>
      <c r="K507">
        <v>1</v>
      </c>
    </row>
    <row r="508" spans="1:11" x14ac:dyDescent="0.25">
      <c r="A508" s="9" t="s">
        <v>52</v>
      </c>
      <c r="B508" s="9" t="s">
        <v>23</v>
      </c>
      <c r="C508" s="10">
        <v>46000</v>
      </c>
      <c r="D508" s="10">
        <v>46000</v>
      </c>
      <c r="E508" s="9" t="s">
        <v>840</v>
      </c>
      <c r="F508" s="9" t="s">
        <v>32</v>
      </c>
      <c r="G508" s="9" t="s">
        <v>139</v>
      </c>
      <c r="H508" s="11">
        <v>533.21</v>
      </c>
      <c r="I508" s="11">
        <v>533.21</v>
      </c>
      <c r="J508" s="11">
        <v>0</v>
      </c>
      <c r="K508">
        <v>1</v>
      </c>
    </row>
    <row r="509" spans="1:11" x14ac:dyDescent="0.25">
      <c r="A509" s="9" t="s">
        <v>52</v>
      </c>
      <c r="B509" s="9" t="s">
        <v>23</v>
      </c>
      <c r="C509" s="10">
        <v>46000</v>
      </c>
      <c r="D509" s="10">
        <v>46000</v>
      </c>
      <c r="E509" s="9" t="s">
        <v>841</v>
      </c>
      <c r="F509" s="9" t="s">
        <v>32</v>
      </c>
      <c r="G509" s="9" t="s">
        <v>491</v>
      </c>
      <c r="H509" s="11">
        <v>1385</v>
      </c>
      <c r="I509" s="11">
        <v>1385</v>
      </c>
      <c r="J509" s="11">
        <v>0</v>
      </c>
      <c r="K509">
        <v>1</v>
      </c>
    </row>
    <row r="510" spans="1:11" x14ac:dyDescent="0.25">
      <c r="A510" s="9" t="s">
        <v>52</v>
      </c>
      <c r="B510" s="9" t="s">
        <v>23</v>
      </c>
      <c r="C510" s="10">
        <v>46000</v>
      </c>
      <c r="D510" s="10">
        <v>46000</v>
      </c>
      <c r="E510" s="9" t="s">
        <v>842</v>
      </c>
      <c r="F510" s="9" t="s">
        <v>32</v>
      </c>
      <c r="G510" s="9" t="s">
        <v>122</v>
      </c>
      <c r="H510" s="11">
        <v>3364.04</v>
      </c>
      <c r="I510" s="11">
        <v>3364.04</v>
      </c>
      <c r="J510" s="11">
        <v>0</v>
      </c>
      <c r="K510">
        <v>1</v>
      </c>
    </row>
    <row r="511" spans="1:11" x14ac:dyDescent="0.25">
      <c r="A511" s="9" t="s">
        <v>52</v>
      </c>
      <c r="B511" s="9" t="s">
        <v>23</v>
      </c>
      <c r="C511" s="10">
        <v>46000</v>
      </c>
      <c r="D511" s="10">
        <v>46000</v>
      </c>
      <c r="E511" s="9" t="s">
        <v>843</v>
      </c>
      <c r="F511" s="9" t="s">
        <v>32</v>
      </c>
      <c r="G511" s="9" t="s">
        <v>33</v>
      </c>
      <c r="H511" s="11">
        <v>8333.83</v>
      </c>
      <c r="I511" s="11">
        <v>8333.83</v>
      </c>
      <c r="J511" s="11">
        <v>0</v>
      </c>
      <c r="K511">
        <v>1</v>
      </c>
    </row>
    <row r="512" spans="1:11" x14ac:dyDescent="0.25">
      <c r="A512" s="9" t="s">
        <v>52</v>
      </c>
      <c r="B512" s="9" t="s">
        <v>23</v>
      </c>
      <c r="C512" s="10">
        <v>46000</v>
      </c>
      <c r="D512" s="10">
        <v>46000</v>
      </c>
      <c r="E512" s="9" t="s">
        <v>844</v>
      </c>
      <c r="F512" s="9" t="s">
        <v>32</v>
      </c>
      <c r="G512" s="9" t="s">
        <v>413</v>
      </c>
      <c r="H512" s="11">
        <v>2282.12</v>
      </c>
      <c r="I512" s="11">
        <v>2282.12</v>
      </c>
      <c r="J512" s="11">
        <v>0</v>
      </c>
      <c r="K512">
        <v>1</v>
      </c>
    </row>
    <row r="513" spans="1:11" x14ac:dyDescent="0.25">
      <c r="A513" s="9" t="s">
        <v>52</v>
      </c>
      <c r="B513" s="9" t="s">
        <v>23</v>
      </c>
      <c r="C513" s="10">
        <v>46000</v>
      </c>
      <c r="D513" s="10">
        <v>46000</v>
      </c>
      <c r="E513" s="9" t="s">
        <v>845</v>
      </c>
      <c r="F513" s="9" t="s">
        <v>32</v>
      </c>
      <c r="G513" s="9" t="s">
        <v>364</v>
      </c>
      <c r="H513" s="11">
        <v>2844.16</v>
      </c>
      <c r="I513" s="11">
        <v>2844.16</v>
      </c>
      <c r="J513" s="11">
        <v>0</v>
      </c>
      <c r="K513">
        <v>1</v>
      </c>
    </row>
    <row r="514" spans="1:11" x14ac:dyDescent="0.25">
      <c r="A514" s="9" t="s">
        <v>52</v>
      </c>
      <c r="B514" s="9" t="s">
        <v>23</v>
      </c>
      <c r="C514" s="10">
        <v>46000</v>
      </c>
      <c r="D514" s="10">
        <v>46000</v>
      </c>
      <c r="E514" s="9" t="s">
        <v>846</v>
      </c>
      <c r="F514" s="9" t="s">
        <v>32</v>
      </c>
      <c r="G514" s="9" t="s">
        <v>847</v>
      </c>
      <c r="H514" s="11">
        <v>1735.8</v>
      </c>
      <c r="I514" s="11">
        <v>1735.8</v>
      </c>
      <c r="J514" s="11">
        <v>0</v>
      </c>
      <c r="K514">
        <v>1</v>
      </c>
    </row>
    <row r="515" spans="1:11" x14ac:dyDescent="0.25">
      <c r="A515" s="9" t="s">
        <v>52</v>
      </c>
      <c r="B515" s="9" t="s">
        <v>23</v>
      </c>
      <c r="C515" s="10">
        <v>46000</v>
      </c>
      <c r="D515" s="10">
        <v>46000</v>
      </c>
      <c r="E515" s="9" t="s">
        <v>848</v>
      </c>
      <c r="F515" s="9" t="s">
        <v>32</v>
      </c>
      <c r="G515" s="9" t="s">
        <v>86</v>
      </c>
      <c r="H515" s="11">
        <v>2061.5500000000002</v>
      </c>
      <c r="I515" s="11">
        <v>2061.5500000000002</v>
      </c>
      <c r="J515" s="11">
        <v>0</v>
      </c>
      <c r="K515">
        <v>1</v>
      </c>
    </row>
    <row r="516" spans="1:11" x14ac:dyDescent="0.25">
      <c r="A516" s="9" t="s">
        <v>52</v>
      </c>
      <c r="B516" s="9" t="s">
        <v>23</v>
      </c>
      <c r="C516" s="10">
        <v>46000</v>
      </c>
      <c r="D516" s="10">
        <v>46000</v>
      </c>
      <c r="E516" s="9" t="s">
        <v>849</v>
      </c>
      <c r="F516" s="9" t="s">
        <v>32</v>
      </c>
      <c r="G516" s="9" t="s">
        <v>850</v>
      </c>
      <c r="H516" s="11">
        <v>1971.62</v>
      </c>
      <c r="I516" s="11">
        <v>1971.62</v>
      </c>
      <c r="J516" s="11">
        <v>0</v>
      </c>
      <c r="K516">
        <v>1</v>
      </c>
    </row>
    <row r="517" spans="1:11" x14ac:dyDescent="0.25">
      <c r="A517" s="9" t="s">
        <v>52</v>
      </c>
      <c r="B517" s="9" t="s">
        <v>23</v>
      </c>
      <c r="C517" s="10">
        <v>46000</v>
      </c>
      <c r="D517" s="10">
        <v>46000</v>
      </c>
      <c r="E517" s="9" t="s">
        <v>851</v>
      </c>
      <c r="F517" s="9" t="s">
        <v>32</v>
      </c>
      <c r="G517" s="9" t="s">
        <v>279</v>
      </c>
      <c r="H517" s="11">
        <v>4978.7700000000004</v>
      </c>
      <c r="I517" s="11">
        <v>4978.7700000000004</v>
      </c>
      <c r="J517" s="11">
        <v>0</v>
      </c>
      <c r="K517">
        <v>1</v>
      </c>
    </row>
    <row r="518" spans="1:11" x14ac:dyDescent="0.25">
      <c r="A518" s="9" t="s">
        <v>52</v>
      </c>
      <c r="B518" s="9" t="s">
        <v>23</v>
      </c>
      <c r="C518" s="10">
        <v>46000</v>
      </c>
      <c r="D518" s="10">
        <v>46000</v>
      </c>
      <c r="E518" s="9" t="s">
        <v>852</v>
      </c>
      <c r="F518" s="9" t="s">
        <v>32</v>
      </c>
      <c r="G518" s="9" t="s">
        <v>194</v>
      </c>
      <c r="H518" s="11">
        <v>2091.64</v>
      </c>
      <c r="I518" s="11">
        <v>2091.64</v>
      </c>
      <c r="J518" s="11">
        <v>0</v>
      </c>
      <c r="K518">
        <v>1</v>
      </c>
    </row>
    <row r="519" spans="1:11" x14ac:dyDescent="0.25">
      <c r="A519" s="9" t="s">
        <v>52</v>
      </c>
      <c r="B519" s="9" t="s">
        <v>23</v>
      </c>
      <c r="C519" s="10">
        <v>46000</v>
      </c>
      <c r="D519" s="10">
        <v>46000</v>
      </c>
      <c r="E519" s="9" t="s">
        <v>853</v>
      </c>
      <c r="F519" s="9" t="s">
        <v>32</v>
      </c>
      <c r="G519" s="9" t="s">
        <v>694</v>
      </c>
      <c r="H519" s="11">
        <v>1704.2</v>
      </c>
      <c r="I519" s="11">
        <v>1704.2</v>
      </c>
      <c r="J519" s="11">
        <v>0</v>
      </c>
      <c r="K519">
        <v>1</v>
      </c>
    </row>
    <row r="520" spans="1:11" x14ac:dyDescent="0.25">
      <c r="A520" s="9" t="s">
        <v>52</v>
      </c>
      <c r="B520" s="9" t="s">
        <v>23</v>
      </c>
      <c r="C520" s="10">
        <v>46000</v>
      </c>
      <c r="D520" s="10">
        <v>46000</v>
      </c>
      <c r="E520" s="9" t="s">
        <v>854</v>
      </c>
      <c r="F520" s="9" t="s">
        <v>32</v>
      </c>
      <c r="G520" s="9" t="s">
        <v>552</v>
      </c>
      <c r="H520" s="11">
        <v>1591.41</v>
      </c>
      <c r="I520" s="11">
        <v>1591.41</v>
      </c>
      <c r="J520" s="11">
        <v>0</v>
      </c>
      <c r="K520">
        <v>1</v>
      </c>
    </row>
    <row r="521" spans="1:11" x14ac:dyDescent="0.25">
      <c r="A521" s="9" t="s">
        <v>52</v>
      </c>
      <c r="B521" s="9" t="s">
        <v>23</v>
      </c>
      <c r="C521" s="10">
        <v>46000</v>
      </c>
      <c r="D521" s="10">
        <v>46000</v>
      </c>
      <c r="E521" s="9" t="s">
        <v>855</v>
      </c>
      <c r="F521" s="9" t="s">
        <v>32</v>
      </c>
      <c r="G521" s="9" t="s">
        <v>84</v>
      </c>
      <c r="H521" s="11">
        <v>2261.42</v>
      </c>
      <c r="I521" s="11">
        <v>2261.42</v>
      </c>
      <c r="J521" s="11">
        <v>0</v>
      </c>
      <c r="K521">
        <v>1</v>
      </c>
    </row>
    <row r="522" spans="1:11" x14ac:dyDescent="0.25">
      <c r="A522" s="9" t="s">
        <v>52</v>
      </c>
      <c r="B522" s="9" t="s">
        <v>23</v>
      </c>
      <c r="C522" s="10">
        <v>46000</v>
      </c>
      <c r="D522" s="10">
        <v>46000</v>
      </c>
      <c r="E522" s="9" t="s">
        <v>856</v>
      </c>
      <c r="F522" s="9" t="s">
        <v>32</v>
      </c>
      <c r="G522" s="9" t="s">
        <v>857</v>
      </c>
      <c r="H522" s="11">
        <v>1371.8</v>
      </c>
      <c r="I522" s="11">
        <v>1371.8</v>
      </c>
      <c r="J522" s="11">
        <v>0</v>
      </c>
      <c r="K522">
        <v>1</v>
      </c>
    </row>
    <row r="523" spans="1:11" x14ac:dyDescent="0.25">
      <c r="A523" s="9" t="s">
        <v>52</v>
      </c>
      <c r="B523" s="9" t="s">
        <v>23</v>
      </c>
      <c r="C523" s="10">
        <v>46000</v>
      </c>
      <c r="D523" s="10">
        <v>46000</v>
      </c>
      <c r="E523" s="9" t="s">
        <v>858</v>
      </c>
      <c r="F523" s="9" t="s">
        <v>32</v>
      </c>
      <c r="G523" s="9" t="s">
        <v>243</v>
      </c>
      <c r="H523" s="11">
        <v>6940.52</v>
      </c>
      <c r="I523" s="11">
        <v>6940.52</v>
      </c>
      <c r="J523" s="11">
        <v>0</v>
      </c>
      <c r="K523">
        <v>1</v>
      </c>
    </row>
    <row r="524" spans="1:11" x14ac:dyDescent="0.25">
      <c r="A524" s="9" t="s">
        <v>52</v>
      </c>
      <c r="B524" s="9" t="s">
        <v>23</v>
      </c>
      <c r="C524" s="10">
        <v>46000</v>
      </c>
      <c r="D524" s="10">
        <v>46000</v>
      </c>
      <c r="E524" s="9" t="s">
        <v>859</v>
      </c>
      <c r="F524" s="9" t="s">
        <v>32</v>
      </c>
      <c r="G524" s="9" t="s">
        <v>434</v>
      </c>
      <c r="H524" s="11">
        <v>1263.1199999999999</v>
      </c>
      <c r="I524" s="11">
        <v>1263.1199999999999</v>
      </c>
      <c r="J524" s="11">
        <v>0</v>
      </c>
      <c r="K524">
        <v>1</v>
      </c>
    </row>
    <row r="525" spans="1:11" x14ac:dyDescent="0.25">
      <c r="A525" s="9" t="s">
        <v>52</v>
      </c>
      <c r="B525" s="9" t="s">
        <v>23</v>
      </c>
      <c r="C525" s="10">
        <v>46001</v>
      </c>
      <c r="D525" s="10">
        <v>46001</v>
      </c>
      <c r="E525" s="9" t="s">
        <v>860</v>
      </c>
      <c r="F525" s="9" t="s">
        <v>141</v>
      </c>
      <c r="G525" s="9" t="s">
        <v>861</v>
      </c>
      <c r="H525" s="11">
        <v>-7603.8</v>
      </c>
      <c r="I525" s="11">
        <v>-7603.8</v>
      </c>
      <c r="J525" s="11">
        <v>0</v>
      </c>
      <c r="K525">
        <v>1</v>
      </c>
    </row>
    <row r="526" spans="1:11" x14ac:dyDescent="0.25">
      <c r="A526" s="9" t="s">
        <v>52</v>
      </c>
      <c r="B526" s="9" t="s">
        <v>23</v>
      </c>
      <c r="C526" s="10">
        <v>46001</v>
      </c>
      <c r="D526" s="10">
        <v>46001</v>
      </c>
      <c r="E526" s="9" t="s">
        <v>862</v>
      </c>
      <c r="F526" s="9" t="s">
        <v>141</v>
      </c>
      <c r="G526" s="9" t="s">
        <v>863</v>
      </c>
      <c r="H526" s="11">
        <v>-3344</v>
      </c>
      <c r="I526" s="11">
        <v>-3344</v>
      </c>
      <c r="J526" s="11">
        <v>0</v>
      </c>
      <c r="K526">
        <v>1</v>
      </c>
    </row>
    <row r="527" spans="1:11" x14ac:dyDescent="0.25">
      <c r="A527" s="9" t="s">
        <v>52</v>
      </c>
      <c r="B527" s="9" t="s">
        <v>23</v>
      </c>
      <c r="C527" s="10">
        <v>46001</v>
      </c>
      <c r="D527" s="10">
        <v>46001</v>
      </c>
      <c r="E527" s="9" t="s">
        <v>864</v>
      </c>
      <c r="F527" s="9" t="s">
        <v>32</v>
      </c>
      <c r="G527" s="9" t="s">
        <v>814</v>
      </c>
      <c r="H527" s="11">
        <v>3283.6</v>
      </c>
      <c r="I527" s="11">
        <v>3283.6</v>
      </c>
      <c r="J527" s="11">
        <v>0</v>
      </c>
      <c r="K527">
        <v>1</v>
      </c>
    </row>
    <row r="528" spans="1:11" x14ac:dyDescent="0.25">
      <c r="A528" s="9" t="s">
        <v>52</v>
      </c>
      <c r="B528" s="9" t="s">
        <v>23</v>
      </c>
      <c r="C528" s="10">
        <v>46001</v>
      </c>
      <c r="D528" s="10">
        <v>46001</v>
      </c>
      <c r="E528" s="9" t="s">
        <v>865</v>
      </c>
      <c r="F528" s="9" t="s">
        <v>32</v>
      </c>
      <c r="G528" s="9" t="s">
        <v>639</v>
      </c>
      <c r="H528" s="11">
        <v>3846.76</v>
      </c>
      <c r="I528" s="11">
        <v>3846.76</v>
      </c>
      <c r="J528" s="11">
        <v>0</v>
      </c>
      <c r="K528">
        <v>1</v>
      </c>
    </row>
    <row r="529" spans="1:11" x14ac:dyDescent="0.25">
      <c r="A529" s="9" t="s">
        <v>52</v>
      </c>
      <c r="B529" s="9" t="s">
        <v>23</v>
      </c>
      <c r="C529" s="10">
        <v>46001</v>
      </c>
      <c r="D529" s="10">
        <v>46001</v>
      </c>
      <c r="E529" s="9" t="s">
        <v>866</v>
      </c>
      <c r="F529" s="9" t="s">
        <v>32</v>
      </c>
      <c r="G529" s="9" t="s">
        <v>70</v>
      </c>
      <c r="H529" s="11">
        <v>4081.09</v>
      </c>
      <c r="I529" s="11">
        <v>4081.09</v>
      </c>
      <c r="J529" s="11">
        <v>0</v>
      </c>
      <c r="K529">
        <v>1</v>
      </c>
    </row>
    <row r="530" spans="1:11" x14ac:dyDescent="0.25">
      <c r="A530" s="9" t="s">
        <v>52</v>
      </c>
      <c r="B530" s="9" t="s">
        <v>23</v>
      </c>
      <c r="C530" s="10">
        <v>46001</v>
      </c>
      <c r="D530" s="10">
        <v>46001</v>
      </c>
      <c r="E530" s="9" t="s">
        <v>867</v>
      </c>
      <c r="F530" s="9" t="s">
        <v>32</v>
      </c>
      <c r="G530" s="9" t="s">
        <v>386</v>
      </c>
      <c r="H530" s="11">
        <v>6692.46</v>
      </c>
      <c r="I530" s="11">
        <v>6692.46</v>
      </c>
      <c r="J530" s="11">
        <v>0</v>
      </c>
      <c r="K530">
        <v>1</v>
      </c>
    </row>
    <row r="531" spans="1:11" x14ac:dyDescent="0.25">
      <c r="A531" s="9" t="s">
        <v>52</v>
      </c>
      <c r="B531" s="9" t="s">
        <v>23</v>
      </c>
      <c r="C531" s="10">
        <v>46001</v>
      </c>
      <c r="D531" s="10">
        <v>46001</v>
      </c>
      <c r="E531" s="9" t="s">
        <v>868</v>
      </c>
      <c r="F531" s="9" t="s">
        <v>141</v>
      </c>
      <c r="G531" s="9" t="s">
        <v>869</v>
      </c>
      <c r="H531" s="11">
        <v>-11380.42</v>
      </c>
      <c r="I531" s="11">
        <v>-11380.42</v>
      </c>
      <c r="J531" s="11">
        <v>0</v>
      </c>
      <c r="K531">
        <v>1</v>
      </c>
    </row>
    <row r="532" spans="1:11" x14ac:dyDescent="0.25">
      <c r="A532" s="9" t="s">
        <v>52</v>
      </c>
      <c r="B532" s="9" t="s">
        <v>23</v>
      </c>
      <c r="C532" s="10">
        <v>46001</v>
      </c>
      <c r="D532" s="10">
        <v>46001</v>
      </c>
      <c r="E532" s="9" t="s">
        <v>870</v>
      </c>
      <c r="F532" s="9" t="s">
        <v>141</v>
      </c>
      <c r="G532" s="9" t="s">
        <v>871</v>
      </c>
      <c r="H532" s="11">
        <v>-9927.5</v>
      </c>
      <c r="I532" s="11">
        <v>-9927.5</v>
      </c>
      <c r="J532" s="11">
        <v>0</v>
      </c>
      <c r="K532">
        <v>1</v>
      </c>
    </row>
    <row r="533" spans="1:11" x14ac:dyDescent="0.25">
      <c r="A533" s="9" t="s">
        <v>52</v>
      </c>
      <c r="B533" s="9" t="s">
        <v>23</v>
      </c>
      <c r="C533" s="10">
        <v>46001</v>
      </c>
      <c r="D533" s="10">
        <v>46001</v>
      </c>
      <c r="E533" s="9" t="s">
        <v>872</v>
      </c>
      <c r="F533" s="9" t="s">
        <v>141</v>
      </c>
      <c r="G533" s="9" t="s">
        <v>873</v>
      </c>
      <c r="H533" s="11">
        <v>-4075.5</v>
      </c>
      <c r="I533" s="11">
        <v>-4075.5</v>
      </c>
      <c r="J533" s="11">
        <v>0</v>
      </c>
      <c r="K533">
        <v>1</v>
      </c>
    </row>
    <row r="534" spans="1:11" x14ac:dyDescent="0.25">
      <c r="A534" s="9" t="s">
        <v>52</v>
      </c>
      <c r="B534" s="9" t="s">
        <v>23</v>
      </c>
      <c r="C534" s="10">
        <v>46001</v>
      </c>
      <c r="D534" s="10">
        <v>46001</v>
      </c>
      <c r="E534" s="9" t="s">
        <v>874</v>
      </c>
      <c r="F534" s="9" t="s">
        <v>141</v>
      </c>
      <c r="G534" s="9" t="s">
        <v>875</v>
      </c>
      <c r="H534" s="11">
        <v>-5470.72</v>
      </c>
      <c r="I534" s="11">
        <v>-5470.72</v>
      </c>
      <c r="J534" s="11">
        <v>0</v>
      </c>
      <c r="K534">
        <v>1</v>
      </c>
    </row>
    <row r="535" spans="1:11" x14ac:dyDescent="0.25">
      <c r="A535" s="9" t="s">
        <v>52</v>
      </c>
      <c r="B535" s="9" t="s">
        <v>23</v>
      </c>
      <c r="C535" s="10">
        <v>46001</v>
      </c>
      <c r="D535" s="10">
        <v>46001</v>
      </c>
      <c r="E535" s="9" t="s">
        <v>876</v>
      </c>
      <c r="F535" s="9" t="s">
        <v>141</v>
      </c>
      <c r="G535" s="9" t="s">
        <v>877</v>
      </c>
      <c r="H535" s="11">
        <v>-5790.78</v>
      </c>
      <c r="I535" s="11">
        <v>-5790.78</v>
      </c>
      <c r="J535" s="11">
        <v>0</v>
      </c>
      <c r="K535">
        <v>1</v>
      </c>
    </row>
    <row r="536" spans="1:11" x14ac:dyDescent="0.25">
      <c r="A536" s="9" t="s">
        <v>52</v>
      </c>
      <c r="B536" s="9" t="s">
        <v>23</v>
      </c>
      <c r="C536" s="10">
        <v>46001</v>
      </c>
      <c r="D536" s="10">
        <v>46001</v>
      </c>
      <c r="E536" s="9" t="s">
        <v>878</v>
      </c>
      <c r="F536" s="9" t="s">
        <v>141</v>
      </c>
      <c r="G536" s="9" t="s">
        <v>879</v>
      </c>
      <c r="H536" s="11">
        <v>-8151</v>
      </c>
      <c r="I536" s="11">
        <v>-8151</v>
      </c>
      <c r="J536" s="11">
        <v>0</v>
      </c>
      <c r="K536">
        <v>1</v>
      </c>
    </row>
    <row r="537" spans="1:11" x14ac:dyDescent="0.25">
      <c r="A537" s="9" t="s">
        <v>52</v>
      </c>
      <c r="B537" s="9" t="s">
        <v>23</v>
      </c>
      <c r="C537" s="10">
        <v>46001</v>
      </c>
      <c r="D537" s="10">
        <v>46001</v>
      </c>
      <c r="E537" s="9" t="s">
        <v>880</v>
      </c>
      <c r="F537" s="9" t="s">
        <v>141</v>
      </c>
      <c r="G537" s="9" t="s">
        <v>881</v>
      </c>
      <c r="H537" s="11">
        <v>-7699.06</v>
      </c>
      <c r="I537" s="11">
        <v>-7699.06</v>
      </c>
      <c r="J537" s="11">
        <v>0</v>
      </c>
      <c r="K537">
        <v>1</v>
      </c>
    </row>
    <row r="538" spans="1:11" x14ac:dyDescent="0.25">
      <c r="A538" s="9" t="s">
        <v>52</v>
      </c>
      <c r="B538" s="9" t="s">
        <v>23</v>
      </c>
      <c r="C538" s="10">
        <v>46001</v>
      </c>
      <c r="D538" s="10">
        <v>46001</v>
      </c>
      <c r="E538" s="9" t="s">
        <v>882</v>
      </c>
      <c r="F538" s="9" t="s">
        <v>141</v>
      </c>
      <c r="G538" s="9" t="s">
        <v>883</v>
      </c>
      <c r="H538" s="11">
        <v>-3971</v>
      </c>
      <c r="I538" s="11">
        <v>-3971</v>
      </c>
      <c r="J538" s="11">
        <v>0</v>
      </c>
      <c r="K538">
        <v>1</v>
      </c>
    </row>
    <row r="539" spans="1:11" x14ac:dyDescent="0.25">
      <c r="A539" s="9" t="s">
        <v>52</v>
      </c>
      <c r="B539" s="9" t="s">
        <v>23</v>
      </c>
      <c r="C539" s="10">
        <v>46001</v>
      </c>
      <c r="D539" s="10">
        <v>46001</v>
      </c>
      <c r="E539" s="9" t="s">
        <v>884</v>
      </c>
      <c r="F539" s="9" t="s">
        <v>32</v>
      </c>
      <c r="G539" s="9" t="s">
        <v>194</v>
      </c>
      <c r="H539" s="11">
        <v>1890.71</v>
      </c>
      <c r="I539" s="11">
        <v>1890.71</v>
      </c>
      <c r="J539" s="11">
        <v>0</v>
      </c>
      <c r="K539">
        <v>1</v>
      </c>
    </row>
    <row r="540" spans="1:11" x14ac:dyDescent="0.25">
      <c r="A540" s="9" t="s">
        <v>52</v>
      </c>
      <c r="B540" s="9" t="s">
        <v>23</v>
      </c>
      <c r="C540" s="10">
        <v>46001</v>
      </c>
      <c r="D540" s="10">
        <v>46001</v>
      </c>
      <c r="E540" s="9" t="s">
        <v>885</v>
      </c>
      <c r="F540" s="9" t="s">
        <v>32</v>
      </c>
      <c r="G540" s="9" t="s">
        <v>349</v>
      </c>
      <c r="H540" s="11">
        <v>102.33</v>
      </c>
      <c r="I540" s="11">
        <v>102.33</v>
      </c>
      <c r="J540" s="11">
        <v>0</v>
      </c>
      <c r="K540">
        <v>1</v>
      </c>
    </row>
    <row r="541" spans="1:11" x14ac:dyDescent="0.25">
      <c r="A541" s="9" t="s">
        <v>52</v>
      </c>
      <c r="B541" s="9" t="s">
        <v>23</v>
      </c>
      <c r="C541" s="10">
        <v>46001</v>
      </c>
      <c r="D541" s="10">
        <v>46001</v>
      </c>
      <c r="E541" s="9" t="s">
        <v>886</v>
      </c>
      <c r="F541" s="9" t="s">
        <v>32</v>
      </c>
      <c r="G541" s="9" t="s">
        <v>198</v>
      </c>
      <c r="H541" s="11">
        <v>346.83</v>
      </c>
      <c r="I541" s="11">
        <v>346.83</v>
      </c>
      <c r="J541" s="11">
        <v>0</v>
      </c>
      <c r="K541">
        <v>1</v>
      </c>
    </row>
    <row r="542" spans="1:11" x14ac:dyDescent="0.25">
      <c r="A542" s="9" t="s">
        <v>52</v>
      </c>
      <c r="B542" s="9" t="s">
        <v>23</v>
      </c>
      <c r="C542" s="10">
        <v>46001</v>
      </c>
      <c r="D542" s="10">
        <v>46001</v>
      </c>
      <c r="E542" s="9" t="s">
        <v>887</v>
      </c>
      <c r="F542" s="9" t="s">
        <v>32</v>
      </c>
      <c r="G542" s="9" t="s">
        <v>684</v>
      </c>
      <c r="H542" s="11">
        <v>1869.49</v>
      </c>
      <c r="I542" s="11">
        <v>1869.49</v>
      </c>
      <c r="J542" s="11">
        <v>0</v>
      </c>
      <c r="K542">
        <v>1</v>
      </c>
    </row>
    <row r="543" spans="1:11" x14ac:dyDescent="0.25">
      <c r="A543" s="9" t="s">
        <v>52</v>
      </c>
      <c r="B543" s="9" t="s">
        <v>23</v>
      </c>
      <c r="C543" s="10">
        <v>46001</v>
      </c>
      <c r="D543" s="10">
        <v>46001</v>
      </c>
      <c r="E543" s="9" t="s">
        <v>888</v>
      </c>
      <c r="F543" s="9" t="s">
        <v>32</v>
      </c>
      <c r="G543" s="9" t="s">
        <v>889</v>
      </c>
      <c r="H543" s="11">
        <v>1829.8</v>
      </c>
      <c r="I543" s="11">
        <v>1829.8</v>
      </c>
      <c r="J543" s="11">
        <v>0</v>
      </c>
      <c r="K543">
        <v>1</v>
      </c>
    </row>
    <row r="544" spans="1:11" x14ac:dyDescent="0.25">
      <c r="A544" s="9" t="s">
        <v>52</v>
      </c>
      <c r="B544" s="9" t="s">
        <v>23</v>
      </c>
      <c r="C544" s="10">
        <v>46001</v>
      </c>
      <c r="D544" s="10">
        <v>46001</v>
      </c>
      <c r="E544" s="9" t="s">
        <v>890</v>
      </c>
      <c r="F544" s="9" t="s">
        <v>32</v>
      </c>
      <c r="G544" s="9" t="s">
        <v>485</v>
      </c>
      <c r="H544" s="11">
        <v>1597.44</v>
      </c>
      <c r="I544" s="11">
        <v>1597.44</v>
      </c>
      <c r="J544" s="11">
        <v>0</v>
      </c>
      <c r="K544">
        <v>1</v>
      </c>
    </row>
    <row r="545" spans="1:11" x14ac:dyDescent="0.25">
      <c r="A545" s="9" t="s">
        <v>52</v>
      </c>
      <c r="B545" s="9" t="s">
        <v>23</v>
      </c>
      <c r="C545" s="10">
        <v>46001</v>
      </c>
      <c r="D545" s="10">
        <v>46001</v>
      </c>
      <c r="E545" s="9" t="s">
        <v>891</v>
      </c>
      <c r="F545" s="9" t="s">
        <v>32</v>
      </c>
      <c r="G545" s="9" t="s">
        <v>196</v>
      </c>
      <c r="H545" s="11">
        <v>1524.11</v>
      </c>
      <c r="I545" s="11">
        <v>1524.11</v>
      </c>
      <c r="J545" s="11">
        <v>0</v>
      </c>
      <c r="K545">
        <v>1</v>
      </c>
    </row>
    <row r="546" spans="1:11" x14ac:dyDescent="0.25">
      <c r="A546" s="9" t="s">
        <v>52</v>
      </c>
      <c r="B546" s="9" t="s">
        <v>23</v>
      </c>
      <c r="C546" s="10">
        <v>46001</v>
      </c>
      <c r="D546" s="10">
        <v>46001</v>
      </c>
      <c r="E546" s="9" t="s">
        <v>892</v>
      </c>
      <c r="F546" s="9" t="s">
        <v>32</v>
      </c>
      <c r="G546" s="9" t="s">
        <v>339</v>
      </c>
      <c r="H546" s="11">
        <v>1496.52</v>
      </c>
      <c r="I546" s="11">
        <v>1496.52</v>
      </c>
      <c r="J546" s="11">
        <v>0</v>
      </c>
      <c r="K546">
        <v>1</v>
      </c>
    </row>
    <row r="547" spans="1:11" x14ac:dyDescent="0.25">
      <c r="A547" s="9" t="s">
        <v>52</v>
      </c>
      <c r="B547" s="9" t="s">
        <v>23</v>
      </c>
      <c r="C547" s="10">
        <v>46001</v>
      </c>
      <c r="D547" s="10">
        <v>46001</v>
      </c>
      <c r="E547" s="9" t="s">
        <v>893</v>
      </c>
      <c r="F547" s="9" t="s">
        <v>32</v>
      </c>
      <c r="G547" s="9" t="s">
        <v>135</v>
      </c>
      <c r="H547" s="11">
        <v>1405.21</v>
      </c>
      <c r="I547" s="11">
        <v>1405.21</v>
      </c>
      <c r="J547" s="11">
        <v>0</v>
      </c>
      <c r="K547">
        <v>1</v>
      </c>
    </row>
    <row r="548" spans="1:11" x14ac:dyDescent="0.25">
      <c r="A548" s="9" t="s">
        <v>52</v>
      </c>
      <c r="B548" s="9" t="s">
        <v>23</v>
      </c>
      <c r="C548" s="10">
        <v>46001</v>
      </c>
      <c r="D548" s="10">
        <v>46001</v>
      </c>
      <c r="E548" s="9" t="s">
        <v>894</v>
      </c>
      <c r="F548" s="9" t="s">
        <v>32</v>
      </c>
      <c r="G548" s="9" t="s">
        <v>895</v>
      </c>
      <c r="H548" s="11">
        <v>1160.8699999999999</v>
      </c>
      <c r="I548" s="11">
        <v>1160.8699999999999</v>
      </c>
      <c r="J548" s="11">
        <v>0</v>
      </c>
      <c r="K548">
        <v>1</v>
      </c>
    </row>
    <row r="549" spans="1:11" x14ac:dyDescent="0.25">
      <c r="A549" s="9" t="s">
        <v>52</v>
      </c>
      <c r="B549" s="9" t="s">
        <v>23</v>
      </c>
      <c r="C549" s="10">
        <v>46001</v>
      </c>
      <c r="D549" s="10">
        <v>46001</v>
      </c>
      <c r="E549" s="9" t="s">
        <v>896</v>
      </c>
      <c r="F549" s="9" t="s">
        <v>32</v>
      </c>
      <c r="G549" s="9" t="s">
        <v>571</v>
      </c>
      <c r="H549" s="11">
        <v>1149.07</v>
      </c>
      <c r="I549" s="11">
        <v>1149.07</v>
      </c>
      <c r="J549" s="11">
        <v>0</v>
      </c>
      <c r="K549">
        <v>1</v>
      </c>
    </row>
    <row r="550" spans="1:11" x14ac:dyDescent="0.25">
      <c r="A550" s="9" t="s">
        <v>52</v>
      </c>
      <c r="B550" s="9" t="s">
        <v>23</v>
      </c>
      <c r="C550" s="10">
        <v>46001</v>
      </c>
      <c r="D550" s="10">
        <v>46001</v>
      </c>
      <c r="E550" s="9" t="s">
        <v>897</v>
      </c>
      <c r="F550" s="9" t="s">
        <v>32</v>
      </c>
      <c r="G550" s="9" t="s">
        <v>898</v>
      </c>
      <c r="H550" s="11">
        <v>1120.4000000000001</v>
      </c>
      <c r="I550" s="11">
        <v>1120.4000000000001</v>
      </c>
      <c r="J550" s="11">
        <v>0</v>
      </c>
      <c r="K550">
        <v>1</v>
      </c>
    </row>
    <row r="551" spans="1:11" x14ac:dyDescent="0.25">
      <c r="A551" s="9" t="s">
        <v>52</v>
      </c>
      <c r="B551" s="9" t="s">
        <v>23</v>
      </c>
      <c r="C551" s="10">
        <v>46001</v>
      </c>
      <c r="D551" s="10">
        <v>46001</v>
      </c>
      <c r="E551" s="9" t="s">
        <v>899</v>
      </c>
      <c r="F551" s="9" t="s">
        <v>32</v>
      </c>
      <c r="G551" s="9" t="s">
        <v>637</v>
      </c>
      <c r="H551" s="11">
        <v>1045.68</v>
      </c>
      <c r="I551" s="11">
        <v>1045.68</v>
      </c>
      <c r="J551" s="11">
        <v>0</v>
      </c>
      <c r="K551">
        <v>1</v>
      </c>
    </row>
    <row r="552" spans="1:11" x14ac:dyDescent="0.25">
      <c r="A552" s="9" t="s">
        <v>52</v>
      </c>
      <c r="B552" s="9" t="s">
        <v>23</v>
      </c>
      <c r="C552" s="10">
        <v>46001</v>
      </c>
      <c r="D552" s="10">
        <v>46001</v>
      </c>
      <c r="E552" s="9" t="s">
        <v>900</v>
      </c>
      <c r="F552" s="9" t="s">
        <v>32</v>
      </c>
      <c r="G552" s="9" t="s">
        <v>768</v>
      </c>
      <c r="H552" s="11">
        <v>2594.6</v>
      </c>
      <c r="I552" s="11">
        <v>2594.6</v>
      </c>
      <c r="J552" s="11">
        <v>0</v>
      </c>
      <c r="K552">
        <v>1</v>
      </c>
    </row>
    <row r="553" spans="1:11" x14ac:dyDescent="0.25">
      <c r="A553" s="9" t="s">
        <v>52</v>
      </c>
      <c r="B553" s="9" t="s">
        <v>23</v>
      </c>
      <c r="C553" s="10">
        <v>46001</v>
      </c>
      <c r="D553" s="10">
        <v>46001</v>
      </c>
      <c r="E553" s="9" t="s">
        <v>901</v>
      </c>
      <c r="F553" s="9" t="s">
        <v>32</v>
      </c>
      <c r="G553" s="9" t="s">
        <v>110</v>
      </c>
      <c r="H553" s="11">
        <v>1933.77</v>
      </c>
      <c r="I553" s="11">
        <v>1933.77</v>
      </c>
      <c r="J553" s="11">
        <v>0</v>
      </c>
      <c r="K553">
        <v>1</v>
      </c>
    </row>
    <row r="554" spans="1:11" x14ac:dyDescent="0.25">
      <c r="A554" s="9" t="s">
        <v>52</v>
      </c>
      <c r="B554" s="9" t="s">
        <v>23</v>
      </c>
      <c r="C554" s="10">
        <v>46001</v>
      </c>
      <c r="D554" s="10">
        <v>46001</v>
      </c>
      <c r="E554" s="9" t="s">
        <v>902</v>
      </c>
      <c r="F554" s="9" t="s">
        <v>32</v>
      </c>
      <c r="G554" s="9" t="s">
        <v>106</v>
      </c>
      <c r="H554" s="11">
        <v>1973.6</v>
      </c>
      <c r="I554" s="11">
        <v>1973.6</v>
      </c>
      <c r="J554" s="11">
        <v>0</v>
      </c>
      <c r="K554">
        <v>1</v>
      </c>
    </row>
    <row r="555" spans="1:11" x14ac:dyDescent="0.25">
      <c r="A555" s="9" t="s">
        <v>52</v>
      </c>
      <c r="B555" s="9" t="s">
        <v>23</v>
      </c>
      <c r="C555" s="10">
        <v>46001</v>
      </c>
      <c r="D555" s="10">
        <v>46001</v>
      </c>
      <c r="E555" s="9" t="s">
        <v>903</v>
      </c>
      <c r="F555" s="9" t="s">
        <v>32</v>
      </c>
      <c r="G555" s="9" t="s">
        <v>904</v>
      </c>
      <c r="H555" s="11">
        <v>2146.54</v>
      </c>
      <c r="I555" s="11">
        <v>2146.54</v>
      </c>
      <c r="J555" s="11">
        <v>0</v>
      </c>
      <c r="K555">
        <v>1</v>
      </c>
    </row>
    <row r="556" spans="1:11" x14ac:dyDescent="0.25">
      <c r="A556" s="9" t="s">
        <v>52</v>
      </c>
      <c r="B556" s="9" t="s">
        <v>23</v>
      </c>
      <c r="C556" s="10">
        <v>46001</v>
      </c>
      <c r="D556" s="10">
        <v>46001</v>
      </c>
      <c r="E556" s="9" t="s">
        <v>905</v>
      </c>
      <c r="F556" s="9" t="s">
        <v>32</v>
      </c>
      <c r="G556" s="9" t="s">
        <v>362</v>
      </c>
      <c r="H556" s="11">
        <v>1768.45</v>
      </c>
      <c r="I556" s="11">
        <v>1768.45</v>
      </c>
      <c r="J556" s="11">
        <v>0</v>
      </c>
      <c r="K556">
        <v>1</v>
      </c>
    </row>
    <row r="557" spans="1:11" x14ac:dyDescent="0.25">
      <c r="A557" s="9" t="s">
        <v>52</v>
      </c>
      <c r="B557" s="9" t="s">
        <v>23</v>
      </c>
      <c r="C557" s="10">
        <v>46001</v>
      </c>
      <c r="D557" s="10">
        <v>46001</v>
      </c>
      <c r="E557" s="9" t="s">
        <v>906</v>
      </c>
      <c r="F557" s="9" t="s">
        <v>32</v>
      </c>
      <c r="G557" s="9" t="s">
        <v>112</v>
      </c>
      <c r="H557" s="11">
        <v>765.72</v>
      </c>
      <c r="I557" s="11">
        <v>765.72</v>
      </c>
      <c r="J557" s="11">
        <v>0</v>
      </c>
      <c r="K557">
        <v>1</v>
      </c>
    </row>
    <row r="558" spans="1:11" x14ac:dyDescent="0.25">
      <c r="A558" s="9" t="s">
        <v>52</v>
      </c>
      <c r="B558" s="9" t="s">
        <v>23</v>
      </c>
      <c r="C558" s="10">
        <v>46001</v>
      </c>
      <c r="D558" s="10">
        <v>46001</v>
      </c>
      <c r="E558" s="9" t="s">
        <v>907</v>
      </c>
      <c r="F558" s="9" t="s">
        <v>32</v>
      </c>
      <c r="G558" s="9" t="s">
        <v>382</v>
      </c>
      <c r="H558" s="11">
        <v>731.42</v>
      </c>
      <c r="I558" s="11">
        <v>731.42</v>
      </c>
      <c r="J558" s="11">
        <v>0</v>
      </c>
      <c r="K558">
        <v>1</v>
      </c>
    </row>
    <row r="559" spans="1:11" x14ac:dyDescent="0.25">
      <c r="A559" s="9" t="s">
        <v>52</v>
      </c>
      <c r="B559" s="9" t="s">
        <v>23</v>
      </c>
      <c r="C559" s="10">
        <v>46001</v>
      </c>
      <c r="D559" s="10">
        <v>46001</v>
      </c>
      <c r="E559" s="9" t="s">
        <v>908</v>
      </c>
      <c r="F559" s="9" t="s">
        <v>32</v>
      </c>
      <c r="G559" s="9" t="s">
        <v>540</v>
      </c>
      <c r="H559" s="11">
        <v>2146.58</v>
      </c>
      <c r="I559" s="11">
        <v>2146.58</v>
      </c>
      <c r="J559" s="11">
        <v>0</v>
      </c>
      <c r="K559">
        <v>1</v>
      </c>
    </row>
    <row r="560" spans="1:11" x14ac:dyDescent="0.25">
      <c r="A560" s="9" t="s">
        <v>52</v>
      </c>
      <c r="B560" s="9" t="s">
        <v>23</v>
      </c>
      <c r="C560" s="10">
        <v>46001</v>
      </c>
      <c r="D560" s="10">
        <v>46001</v>
      </c>
      <c r="E560" s="9" t="s">
        <v>909</v>
      </c>
      <c r="F560" s="9" t="s">
        <v>32</v>
      </c>
      <c r="G560" s="9" t="s">
        <v>259</v>
      </c>
      <c r="H560" s="11">
        <v>2534.04</v>
      </c>
      <c r="I560" s="11">
        <v>2534.04</v>
      </c>
      <c r="J560" s="11">
        <v>0</v>
      </c>
      <c r="K560">
        <v>1</v>
      </c>
    </row>
    <row r="561" spans="1:11" x14ac:dyDescent="0.25">
      <c r="A561" s="9" t="s">
        <v>52</v>
      </c>
      <c r="B561" s="9" t="s">
        <v>23</v>
      </c>
      <c r="C561" s="10">
        <v>46001</v>
      </c>
      <c r="D561" s="10">
        <v>46001</v>
      </c>
      <c r="E561" s="9" t="s">
        <v>910</v>
      </c>
      <c r="F561" s="9" t="s">
        <v>32</v>
      </c>
      <c r="G561" s="9" t="s">
        <v>80</v>
      </c>
      <c r="H561" s="11">
        <v>2540.31</v>
      </c>
      <c r="I561" s="11">
        <v>2540.31</v>
      </c>
      <c r="J561" s="11">
        <v>0</v>
      </c>
      <c r="K561">
        <v>1</v>
      </c>
    </row>
    <row r="562" spans="1:11" x14ac:dyDescent="0.25">
      <c r="A562" s="9" t="s">
        <v>52</v>
      </c>
      <c r="B562" s="9" t="s">
        <v>23</v>
      </c>
      <c r="C562" s="10">
        <v>46001</v>
      </c>
      <c r="D562" s="10">
        <v>46001</v>
      </c>
      <c r="E562" s="9" t="s">
        <v>911</v>
      </c>
      <c r="F562" s="9" t="s">
        <v>32</v>
      </c>
      <c r="G562" s="9" t="s">
        <v>137</v>
      </c>
      <c r="H562" s="11">
        <v>702.04</v>
      </c>
      <c r="I562" s="11">
        <v>702.04</v>
      </c>
      <c r="J562" s="11">
        <v>0</v>
      </c>
      <c r="K562">
        <v>1</v>
      </c>
    </row>
    <row r="563" spans="1:11" x14ac:dyDescent="0.25">
      <c r="A563" s="9" t="s">
        <v>52</v>
      </c>
      <c r="B563" s="9" t="s">
        <v>23</v>
      </c>
      <c r="C563" s="10">
        <v>46001</v>
      </c>
      <c r="D563" s="10">
        <v>46001</v>
      </c>
      <c r="E563" s="9" t="s">
        <v>912</v>
      </c>
      <c r="F563" s="9" t="s">
        <v>32</v>
      </c>
      <c r="G563" s="9" t="s">
        <v>218</v>
      </c>
      <c r="H563" s="11">
        <v>560.64</v>
      </c>
      <c r="I563" s="11">
        <v>560.64</v>
      </c>
      <c r="J563" s="11">
        <v>0</v>
      </c>
      <c r="K563">
        <v>1</v>
      </c>
    </row>
    <row r="564" spans="1:11" x14ac:dyDescent="0.25">
      <c r="A564" s="9" t="s">
        <v>52</v>
      </c>
      <c r="B564" s="9" t="s">
        <v>23</v>
      </c>
      <c r="C564" s="10">
        <v>46001</v>
      </c>
      <c r="D564" s="10">
        <v>46001</v>
      </c>
      <c r="E564" s="9" t="s">
        <v>913</v>
      </c>
      <c r="F564" s="9" t="s">
        <v>32</v>
      </c>
      <c r="G564" s="9" t="s">
        <v>520</v>
      </c>
      <c r="H564" s="11">
        <v>861.8</v>
      </c>
      <c r="I564" s="11">
        <v>861.8</v>
      </c>
      <c r="J564" s="11">
        <v>0</v>
      </c>
      <c r="K564">
        <v>1</v>
      </c>
    </row>
    <row r="565" spans="1:11" x14ac:dyDescent="0.25">
      <c r="A565" s="9" t="s">
        <v>52</v>
      </c>
      <c r="B565" s="9" t="s">
        <v>23</v>
      </c>
      <c r="C565" s="10">
        <v>46001</v>
      </c>
      <c r="D565" s="10">
        <v>46001</v>
      </c>
      <c r="E565" s="9" t="s">
        <v>914</v>
      </c>
      <c r="F565" s="9" t="s">
        <v>32</v>
      </c>
      <c r="G565" s="9" t="s">
        <v>243</v>
      </c>
      <c r="H565" s="11">
        <v>11305.63</v>
      </c>
      <c r="I565" s="11">
        <v>11305.63</v>
      </c>
      <c r="J565" s="11">
        <v>0</v>
      </c>
      <c r="K565">
        <v>1</v>
      </c>
    </row>
    <row r="566" spans="1:11" x14ac:dyDescent="0.25">
      <c r="A566" s="9" t="s">
        <v>52</v>
      </c>
      <c r="B566" s="9" t="s">
        <v>23</v>
      </c>
      <c r="C566" s="10">
        <v>46001</v>
      </c>
      <c r="D566" s="10">
        <v>46001</v>
      </c>
      <c r="E566" s="9" t="s">
        <v>915</v>
      </c>
      <c r="F566" s="9" t="s">
        <v>32</v>
      </c>
      <c r="G566" s="9" t="s">
        <v>540</v>
      </c>
      <c r="H566" s="11">
        <v>1525.52</v>
      </c>
      <c r="I566" s="11">
        <v>1525.52</v>
      </c>
      <c r="J566" s="11">
        <v>0</v>
      </c>
      <c r="K566">
        <v>1</v>
      </c>
    </row>
    <row r="567" spans="1:11" x14ac:dyDescent="0.25">
      <c r="A567" s="9" t="s">
        <v>52</v>
      </c>
      <c r="B567" s="9" t="s">
        <v>23</v>
      </c>
      <c r="C567" s="10">
        <v>46001</v>
      </c>
      <c r="D567" s="10">
        <v>46001</v>
      </c>
      <c r="E567" s="9" t="s">
        <v>916</v>
      </c>
      <c r="F567" s="9" t="s">
        <v>32</v>
      </c>
      <c r="G567" s="9" t="s">
        <v>252</v>
      </c>
      <c r="H567" s="11">
        <v>7644.35</v>
      </c>
      <c r="I567" s="11">
        <v>7644.35</v>
      </c>
      <c r="J567" s="11">
        <v>0</v>
      </c>
      <c r="K567">
        <v>1</v>
      </c>
    </row>
    <row r="568" spans="1:11" x14ac:dyDescent="0.25">
      <c r="A568" s="9" t="s">
        <v>52</v>
      </c>
      <c r="B568" s="9" t="s">
        <v>23</v>
      </c>
      <c r="C568" s="10">
        <v>46001</v>
      </c>
      <c r="D568" s="10">
        <v>46001</v>
      </c>
      <c r="E568" s="9" t="s">
        <v>917</v>
      </c>
      <c r="F568" s="9" t="s">
        <v>32</v>
      </c>
      <c r="G568" s="9" t="s">
        <v>239</v>
      </c>
      <c r="H568" s="11">
        <v>5077.8500000000004</v>
      </c>
      <c r="I568" s="11">
        <v>5077.8500000000004</v>
      </c>
      <c r="J568" s="11">
        <v>0</v>
      </c>
      <c r="K568">
        <v>1</v>
      </c>
    </row>
    <row r="569" spans="1:11" x14ac:dyDescent="0.25">
      <c r="A569" s="9" t="s">
        <v>52</v>
      </c>
      <c r="B569" s="9" t="s">
        <v>23</v>
      </c>
      <c r="C569" s="10">
        <v>46001</v>
      </c>
      <c r="D569" s="10">
        <v>46001</v>
      </c>
      <c r="E569" s="9" t="s">
        <v>918</v>
      </c>
      <c r="F569" s="9" t="s">
        <v>32</v>
      </c>
      <c r="G569" s="9" t="s">
        <v>247</v>
      </c>
      <c r="H569" s="11">
        <v>4615.2700000000004</v>
      </c>
      <c r="I569" s="11">
        <v>4615.2700000000004</v>
      </c>
      <c r="J569" s="11">
        <v>0</v>
      </c>
      <c r="K569">
        <v>1</v>
      </c>
    </row>
    <row r="570" spans="1:11" x14ac:dyDescent="0.25">
      <c r="A570" s="9" t="s">
        <v>52</v>
      </c>
      <c r="B570" s="9" t="s">
        <v>23</v>
      </c>
      <c r="C570" s="10">
        <v>46001</v>
      </c>
      <c r="D570" s="10">
        <v>46001</v>
      </c>
      <c r="E570" s="9" t="s">
        <v>919</v>
      </c>
      <c r="F570" s="9" t="s">
        <v>32</v>
      </c>
      <c r="G570" s="9" t="s">
        <v>920</v>
      </c>
      <c r="H570" s="11">
        <v>3600.13</v>
      </c>
      <c r="I570" s="11">
        <v>3600.13</v>
      </c>
      <c r="J570" s="11">
        <v>0</v>
      </c>
      <c r="K570">
        <v>1</v>
      </c>
    </row>
    <row r="571" spans="1:11" x14ac:dyDescent="0.25">
      <c r="A571" s="9" t="s">
        <v>52</v>
      </c>
      <c r="B571" s="9" t="s">
        <v>23</v>
      </c>
      <c r="C571" s="10">
        <v>46001</v>
      </c>
      <c r="D571" s="10">
        <v>46001</v>
      </c>
      <c r="E571" s="9" t="s">
        <v>921</v>
      </c>
      <c r="F571" s="9" t="s">
        <v>32</v>
      </c>
      <c r="G571" s="9" t="s">
        <v>66</v>
      </c>
      <c r="H571" s="11">
        <v>2474.62</v>
      </c>
      <c r="I571" s="11">
        <v>2474.62</v>
      </c>
      <c r="J571" s="11">
        <v>0</v>
      </c>
      <c r="K571">
        <v>1</v>
      </c>
    </row>
    <row r="572" spans="1:11" x14ac:dyDescent="0.25">
      <c r="A572" s="9" t="s">
        <v>52</v>
      </c>
      <c r="B572" s="9" t="s">
        <v>23</v>
      </c>
      <c r="C572" s="10">
        <v>46001</v>
      </c>
      <c r="D572" s="10">
        <v>46001</v>
      </c>
      <c r="E572" s="9" t="s">
        <v>922</v>
      </c>
      <c r="F572" s="9" t="s">
        <v>32</v>
      </c>
      <c r="G572" s="9" t="s">
        <v>398</v>
      </c>
      <c r="H572" s="11">
        <v>14552.19</v>
      </c>
      <c r="I572" s="11">
        <v>14552.19</v>
      </c>
      <c r="J572" s="11">
        <v>0</v>
      </c>
      <c r="K572">
        <v>1</v>
      </c>
    </row>
    <row r="573" spans="1:11" x14ac:dyDescent="0.25">
      <c r="A573" s="9" t="s">
        <v>52</v>
      </c>
      <c r="B573" s="9" t="s">
        <v>23</v>
      </c>
      <c r="C573" s="10">
        <v>46001</v>
      </c>
      <c r="D573" s="10">
        <v>46001</v>
      </c>
      <c r="E573" s="9" t="s">
        <v>923</v>
      </c>
      <c r="F573" s="9" t="s">
        <v>32</v>
      </c>
      <c r="G573" s="9" t="s">
        <v>224</v>
      </c>
      <c r="H573" s="11">
        <v>2731.49</v>
      </c>
      <c r="I573" s="11">
        <v>2731.49</v>
      </c>
      <c r="J573" s="11">
        <v>0</v>
      </c>
      <c r="K573">
        <v>1</v>
      </c>
    </row>
    <row r="574" spans="1:11" x14ac:dyDescent="0.25">
      <c r="A574" s="9" t="s">
        <v>52</v>
      </c>
      <c r="B574" s="9" t="s">
        <v>23</v>
      </c>
      <c r="C574" s="10">
        <v>46001</v>
      </c>
      <c r="D574" s="10">
        <v>46001</v>
      </c>
      <c r="E574" s="9" t="s">
        <v>924</v>
      </c>
      <c r="F574" s="9" t="s">
        <v>32</v>
      </c>
      <c r="G574" s="9" t="s">
        <v>312</v>
      </c>
      <c r="H574" s="11">
        <v>9333.5</v>
      </c>
      <c r="I574" s="11">
        <v>9333.5</v>
      </c>
      <c r="J574" s="11">
        <v>0</v>
      </c>
      <c r="K574">
        <v>1</v>
      </c>
    </row>
    <row r="575" spans="1:11" x14ac:dyDescent="0.25">
      <c r="A575" s="9" t="s">
        <v>52</v>
      </c>
      <c r="B575" s="9" t="s">
        <v>23</v>
      </c>
      <c r="C575" s="10">
        <v>46001</v>
      </c>
      <c r="D575" s="10">
        <v>46001</v>
      </c>
      <c r="E575" s="9" t="s">
        <v>925</v>
      </c>
      <c r="F575" s="9" t="s">
        <v>32</v>
      </c>
      <c r="G575" s="9" t="s">
        <v>514</v>
      </c>
      <c r="H575" s="11">
        <v>4265.13</v>
      </c>
      <c r="I575" s="11">
        <v>4265.13</v>
      </c>
      <c r="J575" s="11">
        <v>0</v>
      </c>
      <c r="K575">
        <v>1</v>
      </c>
    </row>
    <row r="576" spans="1:11" x14ac:dyDescent="0.25">
      <c r="A576" s="9" t="s">
        <v>52</v>
      </c>
      <c r="B576" s="9" t="s">
        <v>23</v>
      </c>
      <c r="C576" s="10">
        <v>46001</v>
      </c>
      <c r="D576" s="10">
        <v>46001</v>
      </c>
      <c r="E576" s="9" t="s">
        <v>926</v>
      </c>
      <c r="F576" s="9" t="s">
        <v>32</v>
      </c>
      <c r="G576" s="9" t="s">
        <v>270</v>
      </c>
      <c r="H576" s="11">
        <v>11117.32</v>
      </c>
      <c r="I576" s="11">
        <v>11117.32</v>
      </c>
      <c r="J576" s="11">
        <v>0</v>
      </c>
      <c r="K576">
        <v>1</v>
      </c>
    </row>
    <row r="577" spans="1:11" x14ac:dyDescent="0.25">
      <c r="A577" s="9" t="s">
        <v>52</v>
      </c>
      <c r="B577" s="9" t="s">
        <v>23</v>
      </c>
      <c r="C577" s="10">
        <v>46001</v>
      </c>
      <c r="D577" s="10">
        <v>46001</v>
      </c>
      <c r="E577" s="9" t="s">
        <v>927</v>
      </c>
      <c r="F577" s="9" t="s">
        <v>32</v>
      </c>
      <c r="G577" s="9" t="s">
        <v>281</v>
      </c>
      <c r="H577" s="11">
        <v>16736.580000000002</v>
      </c>
      <c r="I577" s="11">
        <v>16736.580000000002</v>
      </c>
      <c r="J577" s="11">
        <v>0</v>
      </c>
      <c r="K577">
        <v>1</v>
      </c>
    </row>
    <row r="578" spans="1:11" x14ac:dyDescent="0.25">
      <c r="A578" s="9" t="s">
        <v>52</v>
      </c>
      <c r="B578" s="9" t="s">
        <v>23</v>
      </c>
      <c r="C578" s="10">
        <v>46001</v>
      </c>
      <c r="D578" s="10">
        <v>46001</v>
      </c>
      <c r="E578" s="9" t="s">
        <v>928</v>
      </c>
      <c r="F578" s="9" t="s">
        <v>32</v>
      </c>
      <c r="G578" s="9" t="s">
        <v>273</v>
      </c>
      <c r="H578" s="11">
        <v>13048.14</v>
      </c>
      <c r="I578" s="11">
        <v>13048.14</v>
      </c>
      <c r="J578" s="11">
        <v>0</v>
      </c>
      <c r="K578">
        <v>1</v>
      </c>
    </row>
    <row r="579" spans="1:11" x14ac:dyDescent="0.25">
      <c r="A579" s="9" t="s">
        <v>52</v>
      </c>
      <c r="B579" s="9" t="s">
        <v>23</v>
      </c>
      <c r="C579" s="10">
        <v>46001</v>
      </c>
      <c r="D579" s="10">
        <v>46001</v>
      </c>
      <c r="E579" s="9" t="s">
        <v>929</v>
      </c>
      <c r="F579" s="9" t="s">
        <v>32</v>
      </c>
      <c r="G579" s="9" t="s">
        <v>122</v>
      </c>
      <c r="H579" s="11">
        <v>6682.34</v>
      </c>
      <c r="I579" s="11">
        <v>6682.34</v>
      </c>
      <c r="J579" s="11">
        <v>0</v>
      </c>
      <c r="K579">
        <v>1</v>
      </c>
    </row>
    <row r="580" spans="1:11" x14ac:dyDescent="0.25">
      <c r="A580" s="9" t="s">
        <v>52</v>
      </c>
      <c r="B580" s="9" t="s">
        <v>23</v>
      </c>
      <c r="C580" s="10">
        <v>46001</v>
      </c>
      <c r="D580" s="10">
        <v>46001</v>
      </c>
      <c r="E580" s="9" t="s">
        <v>930</v>
      </c>
      <c r="F580" s="9" t="s">
        <v>32</v>
      </c>
      <c r="G580" s="9" t="s">
        <v>226</v>
      </c>
      <c r="H580" s="11">
        <v>4555.05</v>
      </c>
      <c r="I580" s="11">
        <v>4555.05</v>
      </c>
      <c r="J580" s="11">
        <v>0</v>
      </c>
      <c r="K580">
        <v>1</v>
      </c>
    </row>
    <row r="581" spans="1:11" x14ac:dyDescent="0.25">
      <c r="A581" s="9" t="s">
        <v>52</v>
      </c>
      <c r="B581" s="9" t="s">
        <v>23</v>
      </c>
      <c r="C581" s="10">
        <v>46001</v>
      </c>
      <c r="D581" s="10">
        <v>46001</v>
      </c>
      <c r="E581" s="9" t="s">
        <v>931</v>
      </c>
      <c r="F581" s="9" t="s">
        <v>32</v>
      </c>
      <c r="G581" s="9" t="s">
        <v>458</v>
      </c>
      <c r="H581" s="11">
        <v>4983.46</v>
      </c>
      <c r="I581" s="11">
        <v>4983.46</v>
      </c>
      <c r="J581" s="11">
        <v>0</v>
      </c>
      <c r="K581">
        <v>1</v>
      </c>
    </row>
    <row r="582" spans="1:11" x14ac:dyDescent="0.25">
      <c r="A582" s="9" t="s">
        <v>52</v>
      </c>
      <c r="B582" s="9" t="s">
        <v>23</v>
      </c>
      <c r="C582" s="10">
        <v>46001</v>
      </c>
      <c r="D582" s="10">
        <v>46001</v>
      </c>
      <c r="E582" s="9" t="s">
        <v>932</v>
      </c>
      <c r="F582" s="9" t="s">
        <v>32</v>
      </c>
      <c r="G582" s="9" t="s">
        <v>233</v>
      </c>
      <c r="H582" s="11">
        <v>15848.54</v>
      </c>
      <c r="I582" s="11">
        <v>15848.54</v>
      </c>
      <c r="J582" s="11">
        <v>0</v>
      </c>
      <c r="K582">
        <v>1</v>
      </c>
    </row>
    <row r="583" spans="1:11" x14ac:dyDescent="0.25">
      <c r="A583" s="9" t="s">
        <v>52</v>
      </c>
      <c r="B583" s="9" t="s">
        <v>23</v>
      </c>
      <c r="C583" s="10">
        <v>46001</v>
      </c>
      <c r="D583" s="10">
        <v>46001</v>
      </c>
      <c r="E583" s="9" t="s">
        <v>933</v>
      </c>
      <c r="F583" s="9" t="s">
        <v>32</v>
      </c>
      <c r="G583" s="9" t="s">
        <v>245</v>
      </c>
      <c r="H583" s="11">
        <v>2920.26</v>
      </c>
      <c r="I583" s="11">
        <v>2920.26</v>
      </c>
      <c r="J583" s="11">
        <v>0</v>
      </c>
      <c r="K583">
        <v>1</v>
      </c>
    </row>
    <row r="584" spans="1:11" x14ac:dyDescent="0.25">
      <c r="A584" s="9" t="s">
        <v>52</v>
      </c>
      <c r="B584" s="9" t="s">
        <v>23</v>
      </c>
      <c r="C584" s="10">
        <v>46001</v>
      </c>
      <c r="D584" s="10">
        <v>46001</v>
      </c>
      <c r="E584" s="9" t="s">
        <v>934</v>
      </c>
      <c r="F584" s="9" t="s">
        <v>32</v>
      </c>
      <c r="G584" s="9" t="s">
        <v>279</v>
      </c>
      <c r="H584" s="11">
        <v>7470.43</v>
      </c>
      <c r="I584" s="11">
        <v>7470.43</v>
      </c>
      <c r="J584" s="11">
        <v>0</v>
      </c>
      <c r="K584">
        <v>1</v>
      </c>
    </row>
    <row r="585" spans="1:11" x14ac:dyDescent="0.25">
      <c r="A585" s="9" t="s">
        <v>52</v>
      </c>
      <c r="B585" s="9" t="s">
        <v>23</v>
      </c>
      <c r="C585" s="10">
        <v>46001</v>
      </c>
      <c r="D585" s="10">
        <v>46001</v>
      </c>
      <c r="E585" s="9" t="s">
        <v>935</v>
      </c>
      <c r="F585" s="9" t="s">
        <v>32</v>
      </c>
      <c r="G585" s="9" t="s">
        <v>474</v>
      </c>
      <c r="H585" s="11">
        <v>2226.5300000000002</v>
      </c>
      <c r="I585" s="11">
        <v>2226.5300000000002</v>
      </c>
      <c r="J585" s="11">
        <v>0</v>
      </c>
      <c r="K585">
        <v>1</v>
      </c>
    </row>
    <row r="586" spans="1:11" x14ac:dyDescent="0.25">
      <c r="A586" s="9" t="s">
        <v>52</v>
      </c>
      <c r="B586" s="9" t="s">
        <v>23</v>
      </c>
      <c r="C586" s="10">
        <v>46001</v>
      </c>
      <c r="D586" s="10">
        <v>46001</v>
      </c>
      <c r="E586" s="9" t="s">
        <v>936</v>
      </c>
      <c r="F586" s="9" t="s">
        <v>32</v>
      </c>
      <c r="G586" s="9" t="s">
        <v>552</v>
      </c>
      <c r="H586" s="11">
        <v>2481.0500000000002</v>
      </c>
      <c r="I586" s="11">
        <v>2481.0500000000002</v>
      </c>
      <c r="J586" s="11">
        <v>0</v>
      </c>
      <c r="K586">
        <v>1</v>
      </c>
    </row>
    <row r="587" spans="1:11" x14ac:dyDescent="0.25">
      <c r="A587" s="9" t="s">
        <v>52</v>
      </c>
      <c r="B587" s="9" t="s">
        <v>23</v>
      </c>
      <c r="C587" s="10">
        <v>46002</v>
      </c>
      <c r="D587" s="10">
        <v>46002</v>
      </c>
      <c r="E587" s="9" t="s">
        <v>937</v>
      </c>
      <c r="F587" s="9" t="s">
        <v>32</v>
      </c>
      <c r="G587" s="9" t="s">
        <v>434</v>
      </c>
      <c r="H587" s="11">
        <v>2106.0500000000002</v>
      </c>
      <c r="I587" s="11">
        <v>2106.0500000000002</v>
      </c>
      <c r="J587" s="11">
        <v>0</v>
      </c>
      <c r="K587">
        <v>1</v>
      </c>
    </row>
    <row r="588" spans="1:11" x14ac:dyDescent="0.25">
      <c r="A588" s="9" t="s">
        <v>52</v>
      </c>
      <c r="B588" s="9" t="s">
        <v>23</v>
      </c>
      <c r="C588" s="10">
        <v>46002</v>
      </c>
      <c r="D588" s="10">
        <v>46002</v>
      </c>
      <c r="E588" s="9" t="s">
        <v>938</v>
      </c>
      <c r="F588" s="9" t="s">
        <v>32</v>
      </c>
      <c r="G588" s="9" t="s">
        <v>364</v>
      </c>
      <c r="H588" s="11">
        <v>1789.6</v>
      </c>
      <c r="I588" s="11">
        <v>1789.6</v>
      </c>
      <c r="J588" s="11">
        <v>0</v>
      </c>
      <c r="K588">
        <v>1</v>
      </c>
    </row>
    <row r="589" spans="1:11" x14ac:dyDescent="0.25">
      <c r="A589" s="9" t="s">
        <v>52</v>
      </c>
      <c r="B589" s="9" t="s">
        <v>23</v>
      </c>
      <c r="C589" s="10">
        <v>46002</v>
      </c>
      <c r="D589" s="10">
        <v>46002</v>
      </c>
      <c r="E589" s="9" t="s">
        <v>939</v>
      </c>
      <c r="F589" s="9" t="s">
        <v>32</v>
      </c>
      <c r="G589" s="9" t="s">
        <v>84</v>
      </c>
      <c r="H589" s="11">
        <v>1559.96</v>
      </c>
      <c r="I589" s="11">
        <v>1559.96</v>
      </c>
      <c r="J589" s="11">
        <v>0</v>
      </c>
      <c r="K589">
        <v>1</v>
      </c>
    </row>
    <row r="590" spans="1:11" x14ac:dyDescent="0.25">
      <c r="A590" s="9" t="s">
        <v>52</v>
      </c>
      <c r="B590" s="9" t="s">
        <v>23</v>
      </c>
      <c r="C590" s="10">
        <v>46002</v>
      </c>
      <c r="D590" s="10">
        <v>46002</v>
      </c>
      <c r="E590" s="9" t="s">
        <v>940</v>
      </c>
      <c r="F590" s="9" t="s">
        <v>32</v>
      </c>
      <c r="G590" s="9" t="s">
        <v>301</v>
      </c>
      <c r="H590" s="11">
        <v>650.70000000000005</v>
      </c>
      <c r="I590" s="11">
        <v>650.70000000000005</v>
      </c>
      <c r="J590" s="11">
        <v>0</v>
      </c>
      <c r="K590">
        <v>1</v>
      </c>
    </row>
    <row r="591" spans="1:11" x14ac:dyDescent="0.25">
      <c r="A591" s="9" t="s">
        <v>52</v>
      </c>
      <c r="B591" s="9" t="s">
        <v>23</v>
      </c>
      <c r="C591" s="10">
        <v>46002</v>
      </c>
      <c r="D591" s="10">
        <v>46002</v>
      </c>
      <c r="E591" s="9" t="s">
        <v>941</v>
      </c>
      <c r="F591" s="9" t="s">
        <v>32</v>
      </c>
      <c r="G591" s="9" t="s">
        <v>942</v>
      </c>
      <c r="H591" s="11">
        <v>1556.24</v>
      </c>
      <c r="I591" s="11">
        <v>1556.24</v>
      </c>
      <c r="J591" s="11">
        <v>0</v>
      </c>
      <c r="K591">
        <v>1</v>
      </c>
    </row>
    <row r="592" spans="1:11" x14ac:dyDescent="0.25">
      <c r="A592" s="9" t="s">
        <v>52</v>
      </c>
      <c r="B592" s="9" t="s">
        <v>23</v>
      </c>
      <c r="C592" s="10">
        <v>46002</v>
      </c>
      <c r="D592" s="10">
        <v>46002</v>
      </c>
      <c r="E592" s="9" t="s">
        <v>943</v>
      </c>
      <c r="F592" s="9" t="s">
        <v>32</v>
      </c>
      <c r="G592" s="9" t="s">
        <v>506</v>
      </c>
      <c r="H592" s="11">
        <v>728.84</v>
      </c>
      <c r="I592" s="11">
        <v>728.84</v>
      </c>
      <c r="J592" s="11">
        <v>0</v>
      </c>
      <c r="K592">
        <v>1</v>
      </c>
    </row>
    <row r="593" spans="1:11" x14ac:dyDescent="0.25">
      <c r="A593" s="9" t="s">
        <v>52</v>
      </c>
      <c r="B593" s="9" t="s">
        <v>23</v>
      </c>
      <c r="C593" s="10">
        <v>46002</v>
      </c>
      <c r="D593" s="10">
        <v>46002</v>
      </c>
      <c r="E593" s="9" t="s">
        <v>944</v>
      </c>
      <c r="F593" s="9" t="s">
        <v>32</v>
      </c>
      <c r="G593" s="9" t="s">
        <v>945</v>
      </c>
      <c r="H593" s="11">
        <v>213.29</v>
      </c>
      <c r="I593" s="11">
        <v>213.29</v>
      </c>
      <c r="J593" s="11">
        <v>0</v>
      </c>
      <c r="K593">
        <v>1</v>
      </c>
    </row>
    <row r="594" spans="1:11" x14ac:dyDescent="0.25">
      <c r="A594" s="9" t="s">
        <v>52</v>
      </c>
      <c r="B594" s="9" t="s">
        <v>23</v>
      </c>
      <c r="C594" s="10">
        <v>46002</v>
      </c>
      <c r="D594" s="10">
        <v>46002</v>
      </c>
      <c r="E594" s="9" t="s">
        <v>946</v>
      </c>
      <c r="F594" s="9" t="s">
        <v>32</v>
      </c>
      <c r="G594" s="9" t="s">
        <v>898</v>
      </c>
      <c r="H594" s="11">
        <v>1452.77</v>
      </c>
      <c r="I594" s="11">
        <v>1452.77</v>
      </c>
      <c r="J594" s="11">
        <v>0</v>
      </c>
      <c r="K594">
        <v>1</v>
      </c>
    </row>
    <row r="595" spans="1:11" x14ac:dyDescent="0.25">
      <c r="A595" s="9" t="s">
        <v>52</v>
      </c>
      <c r="B595" s="9" t="s">
        <v>23</v>
      </c>
      <c r="C595" s="10">
        <v>46002</v>
      </c>
      <c r="D595" s="10">
        <v>46002</v>
      </c>
      <c r="E595" s="9" t="s">
        <v>947</v>
      </c>
      <c r="F595" s="9" t="s">
        <v>32</v>
      </c>
      <c r="G595" s="9" t="s">
        <v>420</v>
      </c>
      <c r="H595" s="11">
        <v>1107.8399999999999</v>
      </c>
      <c r="I595" s="11">
        <v>1107.8399999999999</v>
      </c>
      <c r="J595" s="11">
        <v>0</v>
      </c>
      <c r="K595">
        <v>1</v>
      </c>
    </row>
    <row r="596" spans="1:11" x14ac:dyDescent="0.25">
      <c r="A596" s="9" t="s">
        <v>52</v>
      </c>
      <c r="B596" s="9" t="s">
        <v>23</v>
      </c>
      <c r="C596" s="10">
        <v>46002</v>
      </c>
      <c r="D596" s="10">
        <v>46002</v>
      </c>
      <c r="E596" s="9" t="s">
        <v>948</v>
      </c>
      <c r="F596" s="9" t="s">
        <v>32</v>
      </c>
      <c r="G596" s="9" t="s">
        <v>259</v>
      </c>
      <c r="H596" s="11">
        <v>1088.0899999999999</v>
      </c>
      <c r="I596" s="11">
        <v>1088.0899999999999</v>
      </c>
      <c r="J596" s="11">
        <v>0</v>
      </c>
      <c r="K596">
        <v>1</v>
      </c>
    </row>
    <row r="597" spans="1:11" x14ac:dyDescent="0.25">
      <c r="A597" s="9" t="s">
        <v>52</v>
      </c>
      <c r="B597" s="9" t="s">
        <v>23</v>
      </c>
      <c r="C597" s="10">
        <v>46002</v>
      </c>
      <c r="D597" s="10">
        <v>46002</v>
      </c>
      <c r="E597" s="9" t="s">
        <v>949</v>
      </c>
      <c r="F597" s="9" t="s">
        <v>141</v>
      </c>
      <c r="G597" s="9" t="s">
        <v>950</v>
      </c>
      <c r="H597" s="11">
        <v>-9703.39</v>
      </c>
      <c r="I597" s="11">
        <v>-9703.39</v>
      </c>
      <c r="J597" s="11">
        <v>0</v>
      </c>
      <c r="K597">
        <v>1</v>
      </c>
    </row>
    <row r="598" spans="1:11" x14ac:dyDescent="0.25">
      <c r="A598" s="9" t="s">
        <v>52</v>
      </c>
      <c r="B598" s="9" t="s">
        <v>23</v>
      </c>
      <c r="C598" s="10">
        <v>46002</v>
      </c>
      <c r="D598" s="10">
        <v>46002</v>
      </c>
      <c r="E598" s="9" t="s">
        <v>951</v>
      </c>
      <c r="F598" s="9" t="s">
        <v>32</v>
      </c>
      <c r="G598" s="9" t="s">
        <v>952</v>
      </c>
      <c r="H598" s="11">
        <v>1814.27</v>
      </c>
      <c r="I598" s="11">
        <v>1814.27</v>
      </c>
      <c r="J598" s="11">
        <v>0</v>
      </c>
      <c r="K598">
        <v>1</v>
      </c>
    </row>
    <row r="599" spans="1:11" x14ac:dyDescent="0.25">
      <c r="A599" s="9" t="s">
        <v>52</v>
      </c>
      <c r="B599" s="9" t="s">
        <v>23</v>
      </c>
      <c r="C599" s="10">
        <v>46002</v>
      </c>
      <c r="D599" s="10">
        <v>46002</v>
      </c>
      <c r="E599" s="9" t="s">
        <v>953</v>
      </c>
      <c r="F599" s="9" t="s">
        <v>32</v>
      </c>
      <c r="G599" s="9" t="s">
        <v>942</v>
      </c>
      <c r="H599" s="11">
        <v>2103.84</v>
      </c>
      <c r="I599" s="11">
        <v>2103.84</v>
      </c>
      <c r="J599" s="11">
        <v>0</v>
      </c>
      <c r="K599">
        <v>1</v>
      </c>
    </row>
    <row r="600" spans="1:11" x14ac:dyDescent="0.25">
      <c r="A600" s="9" t="s">
        <v>52</v>
      </c>
      <c r="B600" s="9" t="s">
        <v>23</v>
      </c>
      <c r="C600" s="10">
        <v>46002</v>
      </c>
      <c r="D600" s="10">
        <v>46002</v>
      </c>
      <c r="E600" s="9" t="s">
        <v>954</v>
      </c>
      <c r="F600" s="9" t="s">
        <v>32</v>
      </c>
      <c r="G600" s="9" t="s">
        <v>520</v>
      </c>
      <c r="H600" s="11">
        <v>785.78</v>
      </c>
      <c r="I600" s="11">
        <v>785.78</v>
      </c>
      <c r="J600" s="11">
        <v>0</v>
      </c>
      <c r="K600">
        <v>1</v>
      </c>
    </row>
    <row r="601" spans="1:11" x14ac:dyDescent="0.25">
      <c r="A601" s="9" t="s">
        <v>52</v>
      </c>
      <c r="B601" s="9" t="s">
        <v>23</v>
      </c>
      <c r="C601" s="10">
        <v>46002</v>
      </c>
      <c r="D601" s="10">
        <v>46002</v>
      </c>
      <c r="E601" s="9" t="s">
        <v>955</v>
      </c>
      <c r="F601" s="9" t="s">
        <v>32</v>
      </c>
      <c r="G601" s="9" t="s">
        <v>956</v>
      </c>
      <c r="H601" s="11">
        <v>4578.95</v>
      </c>
      <c r="I601" s="11">
        <v>4578.95</v>
      </c>
      <c r="J601" s="11">
        <v>0</v>
      </c>
      <c r="K601">
        <v>1</v>
      </c>
    </row>
    <row r="602" spans="1:11" x14ac:dyDescent="0.25">
      <c r="A602" s="9" t="s">
        <v>52</v>
      </c>
      <c r="B602" s="9" t="s">
        <v>23</v>
      </c>
      <c r="C602" s="10">
        <v>46002</v>
      </c>
      <c r="D602" s="10">
        <v>46002</v>
      </c>
      <c r="E602" s="9" t="s">
        <v>957</v>
      </c>
      <c r="F602" s="9" t="s">
        <v>32</v>
      </c>
      <c r="G602" s="9" t="s">
        <v>753</v>
      </c>
      <c r="H602" s="11">
        <v>2265.64</v>
      </c>
      <c r="I602" s="11">
        <v>2265.64</v>
      </c>
      <c r="J602" s="11">
        <v>0</v>
      </c>
      <c r="K602">
        <v>1</v>
      </c>
    </row>
    <row r="603" spans="1:11" x14ac:dyDescent="0.25">
      <c r="A603" s="9" t="s">
        <v>52</v>
      </c>
      <c r="B603" s="9" t="s">
        <v>23</v>
      </c>
      <c r="C603" s="10">
        <v>46002</v>
      </c>
      <c r="D603" s="10">
        <v>46002</v>
      </c>
      <c r="E603" s="9" t="s">
        <v>958</v>
      </c>
      <c r="F603" s="9" t="s">
        <v>32</v>
      </c>
      <c r="G603" s="9" t="s">
        <v>393</v>
      </c>
      <c r="H603" s="11">
        <v>2640.45</v>
      </c>
      <c r="I603" s="11">
        <v>2640.45</v>
      </c>
      <c r="J603" s="11">
        <v>0</v>
      </c>
      <c r="K603">
        <v>1</v>
      </c>
    </row>
    <row r="604" spans="1:11" x14ac:dyDescent="0.25">
      <c r="A604" s="9" t="s">
        <v>52</v>
      </c>
      <c r="B604" s="9" t="s">
        <v>23</v>
      </c>
      <c r="C604" s="10">
        <v>46002</v>
      </c>
      <c r="D604" s="10">
        <v>46002</v>
      </c>
      <c r="E604" s="9" t="s">
        <v>959</v>
      </c>
      <c r="F604" s="9" t="s">
        <v>32</v>
      </c>
      <c r="G604" s="9" t="s">
        <v>488</v>
      </c>
      <c r="H604" s="11">
        <v>2795.46</v>
      </c>
      <c r="I604" s="11">
        <v>2795.46</v>
      </c>
      <c r="J604" s="11">
        <v>0</v>
      </c>
      <c r="K604">
        <v>1</v>
      </c>
    </row>
    <row r="605" spans="1:11" x14ac:dyDescent="0.25">
      <c r="A605" s="9" t="s">
        <v>52</v>
      </c>
      <c r="B605" s="9" t="s">
        <v>23</v>
      </c>
      <c r="C605" s="10">
        <v>46002</v>
      </c>
      <c r="D605" s="10">
        <v>46002</v>
      </c>
      <c r="E605" s="9" t="s">
        <v>960</v>
      </c>
      <c r="F605" s="9" t="s">
        <v>32</v>
      </c>
      <c r="G605" s="9" t="s">
        <v>208</v>
      </c>
      <c r="H605" s="11">
        <v>3026.35</v>
      </c>
      <c r="I605" s="11">
        <v>3026.35</v>
      </c>
      <c r="J605" s="11">
        <v>0</v>
      </c>
      <c r="K605">
        <v>1</v>
      </c>
    </row>
    <row r="606" spans="1:11" x14ac:dyDescent="0.25">
      <c r="A606" s="9" t="s">
        <v>52</v>
      </c>
      <c r="B606" s="9" t="s">
        <v>23</v>
      </c>
      <c r="C606" s="10">
        <v>46002</v>
      </c>
      <c r="D606" s="10">
        <v>46002</v>
      </c>
      <c r="E606" s="9" t="s">
        <v>961</v>
      </c>
      <c r="F606" s="9" t="s">
        <v>32</v>
      </c>
      <c r="G606" s="9" t="s">
        <v>847</v>
      </c>
      <c r="H606" s="11">
        <v>3496.3</v>
      </c>
      <c r="I606" s="11">
        <v>3496.3</v>
      </c>
      <c r="J606" s="11">
        <v>0</v>
      </c>
      <c r="K606">
        <v>1</v>
      </c>
    </row>
    <row r="607" spans="1:11" x14ac:dyDescent="0.25">
      <c r="A607" s="9" t="s">
        <v>52</v>
      </c>
      <c r="B607" s="9" t="s">
        <v>23</v>
      </c>
      <c r="C607" s="10">
        <v>46002</v>
      </c>
      <c r="D607" s="10">
        <v>46002</v>
      </c>
      <c r="E607" s="9" t="s">
        <v>962</v>
      </c>
      <c r="F607" s="9" t="s">
        <v>32</v>
      </c>
      <c r="G607" s="9" t="s">
        <v>367</v>
      </c>
      <c r="H607" s="11">
        <v>3660.44</v>
      </c>
      <c r="I607" s="11">
        <v>3660.44</v>
      </c>
      <c r="J607" s="11">
        <v>0</v>
      </c>
      <c r="K607">
        <v>1</v>
      </c>
    </row>
    <row r="608" spans="1:11" x14ac:dyDescent="0.25">
      <c r="A608" s="9" t="s">
        <v>52</v>
      </c>
      <c r="B608" s="9" t="s">
        <v>23</v>
      </c>
      <c r="C608" s="10">
        <v>46002</v>
      </c>
      <c r="D608" s="10">
        <v>46002</v>
      </c>
      <c r="E608" s="9" t="s">
        <v>963</v>
      </c>
      <c r="F608" s="9" t="s">
        <v>32</v>
      </c>
      <c r="G608" s="9" t="s">
        <v>479</v>
      </c>
      <c r="H608" s="11">
        <v>790.76</v>
      </c>
      <c r="I608" s="11">
        <v>790.76</v>
      </c>
      <c r="J608" s="11">
        <v>0</v>
      </c>
      <c r="K608">
        <v>1</v>
      </c>
    </row>
    <row r="609" spans="1:11" x14ac:dyDescent="0.25">
      <c r="A609" s="9" t="s">
        <v>52</v>
      </c>
      <c r="B609" s="9" t="s">
        <v>23</v>
      </c>
      <c r="C609" s="10">
        <v>46002</v>
      </c>
      <c r="D609" s="10">
        <v>46002</v>
      </c>
      <c r="E609" s="9" t="s">
        <v>964</v>
      </c>
      <c r="F609" s="9" t="s">
        <v>32</v>
      </c>
      <c r="G609" s="9" t="s">
        <v>204</v>
      </c>
      <c r="H609" s="11">
        <v>869.71</v>
      </c>
      <c r="I609" s="11">
        <v>869.71</v>
      </c>
      <c r="J609" s="11">
        <v>0</v>
      </c>
      <c r="K609">
        <v>1</v>
      </c>
    </row>
    <row r="610" spans="1:11" x14ac:dyDescent="0.25">
      <c r="A610" s="9" t="s">
        <v>52</v>
      </c>
      <c r="B610" s="9" t="s">
        <v>23</v>
      </c>
      <c r="C610" s="10">
        <v>46002</v>
      </c>
      <c r="D610" s="10">
        <v>46002</v>
      </c>
      <c r="E610" s="9" t="s">
        <v>965</v>
      </c>
      <c r="F610" s="9" t="s">
        <v>141</v>
      </c>
      <c r="G610" s="9" t="s">
        <v>966</v>
      </c>
      <c r="H610" s="11">
        <v>-12792</v>
      </c>
      <c r="I610" s="11">
        <v>-12792</v>
      </c>
      <c r="J610" s="11">
        <v>0</v>
      </c>
      <c r="K610">
        <v>1</v>
      </c>
    </row>
    <row r="611" spans="1:11" x14ac:dyDescent="0.25">
      <c r="A611" s="9" t="s">
        <v>52</v>
      </c>
      <c r="B611" s="9" t="s">
        <v>23</v>
      </c>
      <c r="C611" s="10">
        <v>46002</v>
      </c>
      <c r="D611" s="10">
        <v>46002</v>
      </c>
      <c r="E611" s="9" t="s">
        <v>967</v>
      </c>
      <c r="F611" s="9" t="s">
        <v>32</v>
      </c>
      <c r="G611" s="9" t="s">
        <v>400</v>
      </c>
      <c r="H611" s="11">
        <v>4141.72</v>
      </c>
      <c r="I611" s="11">
        <v>4141.72</v>
      </c>
      <c r="J611" s="11">
        <v>0</v>
      </c>
      <c r="K611">
        <v>1</v>
      </c>
    </row>
    <row r="612" spans="1:11" x14ac:dyDescent="0.25">
      <c r="A612" s="9" t="s">
        <v>52</v>
      </c>
      <c r="B612" s="9" t="s">
        <v>23</v>
      </c>
      <c r="C612" s="10">
        <v>46002</v>
      </c>
      <c r="D612" s="10">
        <v>46002</v>
      </c>
      <c r="E612" s="9" t="s">
        <v>968</v>
      </c>
      <c r="F612" s="9" t="s">
        <v>32</v>
      </c>
      <c r="G612" s="9" t="s">
        <v>574</v>
      </c>
      <c r="H612" s="11">
        <v>846.3</v>
      </c>
      <c r="I612" s="11">
        <v>846.3</v>
      </c>
      <c r="J612" s="11">
        <v>0</v>
      </c>
      <c r="K612">
        <v>1</v>
      </c>
    </row>
    <row r="613" spans="1:11" x14ac:dyDescent="0.25">
      <c r="A613" s="9" t="s">
        <v>52</v>
      </c>
      <c r="B613" s="9" t="s">
        <v>23</v>
      </c>
      <c r="C613" s="10">
        <v>46002</v>
      </c>
      <c r="D613" s="10">
        <v>46002</v>
      </c>
      <c r="E613" s="9" t="s">
        <v>969</v>
      </c>
      <c r="F613" s="9" t="s">
        <v>32</v>
      </c>
      <c r="G613" s="9" t="s">
        <v>970</v>
      </c>
      <c r="H613" s="11">
        <v>1843.85</v>
      </c>
      <c r="I613" s="11">
        <v>1843.85</v>
      </c>
      <c r="J613" s="11">
        <v>0</v>
      </c>
      <c r="K613">
        <v>1</v>
      </c>
    </row>
    <row r="614" spans="1:11" x14ac:dyDescent="0.25">
      <c r="A614" s="9" t="s">
        <v>52</v>
      </c>
      <c r="B614" s="9" t="s">
        <v>23</v>
      </c>
      <c r="C614" s="10">
        <v>46002</v>
      </c>
      <c r="D614" s="10">
        <v>46002</v>
      </c>
      <c r="E614" s="9" t="s">
        <v>971</v>
      </c>
      <c r="F614" s="9" t="s">
        <v>32</v>
      </c>
      <c r="G614" s="9" t="s">
        <v>972</v>
      </c>
      <c r="H614" s="11">
        <v>4217.17</v>
      </c>
      <c r="I614" s="11">
        <v>4217.17</v>
      </c>
      <c r="J614" s="11">
        <v>0</v>
      </c>
      <c r="K614">
        <v>1</v>
      </c>
    </row>
    <row r="615" spans="1:11" x14ac:dyDescent="0.25">
      <c r="A615" s="9" t="s">
        <v>52</v>
      </c>
      <c r="B615" s="9" t="s">
        <v>23</v>
      </c>
      <c r="C615" s="10">
        <v>46002</v>
      </c>
      <c r="D615" s="10">
        <v>46002</v>
      </c>
      <c r="E615" s="9" t="s">
        <v>973</v>
      </c>
      <c r="F615" s="9" t="s">
        <v>32</v>
      </c>
      <c r="G615" s="9" t="s">
        <v>334</v>
      </c>
      <c r="H615" s="11">
        <v>4228.83</v>
      </c>
      <c r="I615" s="11">
        <v>4228.83</v>
      </c>
      <c r="J615" s="11">
        <v>0</v>
      </c>
      <c r="K615">
        <v>1</v>
      </c>
    </row>
    <row r="616" spans="1:11" x14ac:dyDescent="0.25">
      <c r="A616" s="9" t="s">
        <v>52</v>
      </c>
      <c r="B616" s="9" t="s">
        <v>23</v>
      </c>
      <c r="C616" s="10">
        <v>46002</v>
      </c>
      <c r="D616" s="10">
        <v>46002</v>
      </c>
      <c r="E616" s="9" t="s">
        <v>974</v>
      </c>
      <c r="F616" s="9" t="s">
        <v>32</v>
      </c>
      <c r="G616" s="9" t="s">
        <v>741</v>
      </c>
      <c r="H616" s="11">
        <v>1989.73</v>
      </c>
      <c r="I616" s="11">
        <v>1989.73</v>
      </c>
      <c r="J616" s="11">
        <v>0</v>
      </c>
      <c r="K616">
        <v>1</v>
      </c>
    </row>
    <row r="617" spans="1:11" x14ac:dyDescent="0.25">
      <c r="A617" s="9" t="s">
        <v>52</v>
      </c>
      <c r="B617" s="9" t="s">
        <v>23</v>
      </c>
      <c r="C617" s="10">
        <v>46002</v>
      </c>
      <c r="D617" s="10">
        <v>46002</v>
      </c>
      <c r="E617" s="9" t="s">
        <v>975</v>
      </c>
      <c r="F617" s="9" t="s">
        <v>141</v>
      </c>
      <c r="G617" s="9" t="s">
        <v>976</v>
      </c>
      <c r="H617" s="11">
        <v>-128882.9</v>
      </c>
      <c r="I617" s="11">
        <v>-128882.9</v>
      </c>
      <c r="J617" s="11">
        <v>0</v>
      </c>
      <c r="K617">
        <v>1</v>
      </c>
    </row>
    <row r="618" spans="1:11" x14ac:dyDescent="0.25">
      <c r="A618" s="9" t="s">
        <v>52</v>
      </c>
      <c r="B618" s="9" t="s">
        <v>23</v>
      </c>
      <c r="C618" s="10">
        <v>46002</v>
      </c>
      <c r="D618" s="10">
        <v>46002</v>
      </c>
      <c r="E618" s="9" t="s">
        <v>977</v>
      </c>
      <c r="F618" s="9" t="s">
        <v>32</v>
      </c>
      <c r="G618" s="9" t="s">
        <v>379</v>
      </c>
      <c r="H618" s="11">
        <v>922.2</v>
      </c>
      <c r="I618" s="11">
        <v>922.2</v>
      </c>
      <c r="J618" s="11">
        <v>0</v>
      </c>
      <c r="K618">
        <v>1</v>
      </c>
    </row>
    <row r="619" spans="1:11" x14ac:dyDescent="0.25">
      <c r="A619" s="9" t="s">
        <v>52</v>
      </c>
      <c r="B619" s="9" t="s">
        <v>23</v>
      </c>
      <c r="C619" s="10">
        <v>46002</v>
      </c>
      <c r="D619" s="10">
        <v>46002</v>
      </c>
      <c r="E619" s="9" t="s">
        <v>978</v>
      </c>
      <c r="F619" s="9" t="s">
        <v>32</v>
      </c>
      <c r="G619" s="9" t="s">
        <v>68</v>
      </c>
      <c r="H619" s="11">
        <v>4041.55</v>
      </c>
      <c r="I619" s="11">
        <v>4041.55</v>
      </c>
      <c r="J619" s="11">
        <v>0</v>
      </c>
      <c r="K619">
        <v>1</v>
      </c>
    </row>
    <row r="620" spans="1:11" x14ac:dyDescent="0.25">
      <c r="A620" s="9" t="s">
        <v>52</v>
      </c>
      <c r="B620" s="9" t="s">
        <v>23</v>
      </c>
      <c r="C620" s="10">
        <v>46002</v>
      </c>
      <c r="D620" s="10">
        <v>46002</v>
      </c>
      <c r="E620" s="9" t="s">
        <v>979</v>
      </c>
      <c r="F620" s="9" t="s">
        <v>32</v>
      </c>
      <c r="G620" s="9" t="s">
        <v>122</v>
      </c>
      <c r="H620" s="11">
        <v>3115.35</v>
      </c>
      <c r="I620" s="11">
        <v>3115.35</v>
      </c>
      <c r="J620" s="11">
        <v>0</v>
      </c>
      <c r="K620">
        <v>1</v>
      </c>
    </row>
    <row r="621" spans="1:11" x14ac:dyDescent="0.25">
      <c r="A621" s="9" t="s">
        <v>52</v>
      </c>
      <c r="B621" s="9" t="s">
        <v>23</v>
      </c>
      <c r="C621" s="10">
        <v>46002</v>
      </c>
      <c r="D621" s="10">
        <v>46002</v>
      </c>
      <c r="E621" s="9" t="s">
        <v>980</v>
      </c>
      <c r="F621" s="9" t="s">
        <v>32</v>
      </c>
      <c r="G621" s="9" t="s">
        <v>108</v>
      </c>
      <c r="H621" s="11">
        <v>993.06</v>
      </c>
      <c r="I621" s="11">
        <v>993.06</v>
      </c>
      <c r="J621" s="11">
        <v>0</v>
      </c>
      <c r="K621">
        <v>1</v>
      </c>
    </row>
    <row r="622" spans="1:11" x14ac:dyDescent="0.25">
      <c r="A622" s="9" t="s">
        <v>52</v>
      </c>
      <c r="B622" s="9" t="s">
        <v>23</v>
      </c>
      <c r="C622" s="10">
        <v>46002</v>
      </c>
      <c r="D622" s="10">
        <v>46002</v>
      </c>
      <c r="E622" s="9" t="s">
        <v>981</v>
      </c>
      <c r="F622" s="9" t="s">
        <v>32</v>
      </c>
      <c r="G622" s="9" t="s">
        <v>233</v>
      </c>
      <c r="H622" s="11">
        <v>13696.91</v>
      </c>
      <c r="I622" s="11">
        <v>13696.91</v>
      </c>
      <c r="J622" s="11">
        <v>0</v>
      </c>
      <c r="K622">
        <v>1</v>
      </c>
    </row>
    <row r="623" spans="1:11" x14ac:dyDescent="0.25">
      <c r="A623" s="9" t="s">
        <v>52</v>
      </c>
      <c r="B623" s="9" t="s">
        <v>23</v>
      </c>
      <c r="C623" s="10">
        <v>46002</v>
      </c>
      <c r="D623" s="10">
        <v>46002</v>
      </c>
      <c r="E623" s="9" t="s">
        <v>982</v>
      </c>
      <c r="F623" s="9" t="s">
        <v>32</v>
      </c>
      <c r="G623" s="9" t="s">
        <v>252</v>
      </c>
      <c r="H623" s="11">
        <v>5174.0600000000004</v>
      </c>
      <c r="I623" s="11">
        <v>5174.0600000000004</v>
      </c>
      <c r="J623" s="11">
        <v>0</v>
      </c>
      <c r="K623">
        <v>1</v>
      </c>
    </row>
    <row r="624" spans="1:11" x14ac:dyDescent="0.25">
      <c r="A624" s="9" t="s">
        <v>52</v>
      </c>
      <c r="B624" s="9" t="s">
        <v>23</v>
      </c>
      <c r="C624" s="10">
        <v>46002</v>
      </c>
      <c r="D624" s="10">
        <v>46002</v>
      </c>
      <c r="E624" s="9" t="s">
        <v>983</v>
      </c>
      <c r="F624" s="9" t="s">
        <v>32</v>
      </c>
      <c r="G624" s="9" t="s">
        <v>66</v>
      </c>
      <c r="H624" s="11">
        <v>3648.3</v>
      </c>
      <c r="I624" s="11">
        <v>3648.3</v>
      </c>
      <c r="J624" s="11">
        <v>0</v>
      </c>
      <c r="K624">
        <v>1</v>
      </c>
    </row>
    <row r="625" spans="1:11" x14ac:dyDescent="0.25">
      <c r="A625" s="9" t="s">
        <v>52</v>
      </c>
      <c r="B625" s="9" t="s">
        <v>23</v>
      </c>
      <c r="C625" s="10">
        <v>46002</v>
      </c>
      <c r="D625" s="10">
        <v>46002</v>
      </c>
      <c r="E625" s="9" t="s">
        <v>984</v>
      </c>
      <c r="F625" s="9" t="s">
        <v>32</v>
      </c>
      <c r="G625" s="9" t="s">
        <v>122</v>
      </c>
      <c r="H625" s="11">
        <v>5208.3500000000004</v>
      </c>
      <c r="I625" s="11">
        <v>5208.3500000000004</v>
      </c>
      <c r="J625" s="11">
        <v>0</v>
      </c>
      <c r="K625">
        <v>1</v>
      </c>
    </row>
    <row r="626" spans="1:11" x14ac:dyDescent="0.25">
      <c r="A626" s="9" t="s">
        <v>52</v>
      </c>
      <c r="B626" s="9" t="s">
        <v>23</v>
      </c>
      <c r="C626" s="10">
        <v>46002</v>
      </c>
      <c r="D626" s="10">
        <v>46002</v>
      </c>
      <c r="E626" s="9" t="s">
        <v>985</v>
      </c>
      <c r="F626" s="9" t="s">
        <v>32</v>
      </c>
      <c r="G626" s="9" t="s">
        <v>277</v>
      </c>
      <c r="H626" s="11">
        <v>8375.64</v>
      </c>
      <c r="I626" s="11">
        <v>8375.64</v>
      </c>
      <c r="J626" s="11">
        <v>0</v>
      </c>
      <c r="K626">
        <v>1</v>
      </c>
    </row>
    <row r="627" spans="1:11" x14ac:dyDescent="0.25">
      <c r="A627" s="9" t="s">
        <v>52</v>
      </c>
      <c r="B627" s="9" t="s">
        <v>23</v>
      </c>
      <c r="C627" s="10">
        <v>46002</v>
      </c>
      <c r="D627" s="10">
        <v>46002</v>
      </c>
      <c r="E627" s="9" t="s">
        <v>986</v>
      </c>
      <c r="F627" s="9" t="s">
        <v>32</v>
      </c>
      <c r="G627" s="9" t="s">
        <v>987</v>
      </c>
      <c r="H627" s="11">
        <v>18222.310000000001</v>
      </c>
      <c r="I627" s="11">
        <v>18222.310000000001</v>
      </c>
      <c r="J627" s="11">
        <v>0</v>
      </c>
      <c r="K627">
        <v>1</v>
      </c>
    </row>
    <row r="628" spans="1:11" x14ac:dyDescent="0.25">
      <c r="A628" s="9" t="s">
        <v>52</v>
      </c>
      <c r="B628" s="9" t="s">
        <v>23</v>
      </c>
      <c r="C628" s="10">
        <v>46002</v>
      </c>
      <c r="D628" s="10">
        <v>46002</v>
      </c>
      <c r="E628" s="9" t="s">
        <v>988</v>
      </c>
      <c r="F628" s="9" t="s">
        <v>32</v>
      </c>
      <c r="G628" s="9" t="s">
        <v>270</v>
      </c>
      <c r="H628" s="11">
        <v>8972.3799999999992</v>
      </c>
      <c r="I628" s="11">
        <v>8972.3799999999992</v>
      </c>
      <c r="J628" s="11">
        <v>0</v>
      </c>
      <c r="K628">
        <v>1</v>
      </c>
    </row>
    <row r="629" spans="1:11" x14ac:dyDescent="0.25">
      <c r="A629" s="9" t="s">
        <v>52</v>
      </c>
      <c r="B629" s="9" t="s">
        <v>23</v>
      </c>
      <c r="C629" s="10">
        <v>46002</v>
      </c>
      <c r="D629" s="10">
        <v>46002</v>
      </c>
      <c r="E629" s="9" t="s">
        <v>989</v>
      </c>
      <c r="F629" s="9" t="s">
        <v>32</v>
      </c>
      <c r="G629" s="9" t="s">
        <v>230</v>
      </c>
      <c r="H629" s="11">
        <v>6106.12</v>
      </c>
      <c r="I629" s="11">
        <v>6106.12</v>
      </c>
      <c r="J629" s="11">
        <v>0</v>
      </c>
      <c r="K629">
        <v>1</v>
      </c>
    </row>
    <row r="630" spans="1:11" x14ac:dyDescent="0.25">
      <c r="A630" s="9" t="s">
        <v>52</v>
      </c>
      <c r="B630" s="9" t="s">
        <v>23</v>
      </c>
      <c r="C630" s="10">
        <v>46002</v>
      </c>
      <c r="D630" s="10">
        <v>46002</v>
      </c>
      <c r="E630" s="9" t="s">
        <v>990</v>
      </c>
      <c r="F630" s="9" t="s">
        <v>32</v>
      </c>
      <c r="G630" s="9" t="s">
        <v>116</v>
      </c>
      <c r="H630" s="11">
        <v>3677.84</v>
      </c>
      <c r="I630" s="11">
        <v>3677.84</v>
      </c>
      <c r="J630" s="11">
        <v>0</v>
      </c>
      <c r="K630">
        <v>1</v>
      </c>
    </row>
    <row r="631" spans="1:11" x14ac:dyDescent="0.25">
      <c r="A631" s="9" t="s">
        <v>52</v>
      </c>
      <c r="B631" s="9" t="s">
        <v>55</v>
      </c>
      <c r="C631" s="10">
        <v>46003</v>
      </c>
      <c r="D631" s="10">
        <v>46003</v>
      </c>
      <c r="E631" s="9" t="s">
        <v>991</v>
      </c>
      <c r="F631" s="9" t="s">
        <v>57</v>
      </c>
      <c r="G631" s="9" t="s">
        <v>35</v>
      </c>
      <c r="H631" s="11">
        <v>1620.8</v>
      </c>
      <c r="I631" s="11">
        <v>1620.8</v>
      </c>
      <c r="J631" s="11">
        <v>0</v>
      </c>
      <c r="K631">
        <v>1</v>
      </c>
    </row>
    <row r="632" spans="1:11" x14ac:dyDescent="0.25">
      <c r="A632" s="9" t="s">
        <v>52</v>
      </c>
      <c r="B632" s="9" t="s">
        <v>23</v>
      </c>
      <c r="C632" s="10">
        <v>46003</v>
      </c>
      <c r="D632" s="10">
        <v>46003</v>
      </c>
      <c r="E632" s="9" t="s">
        <v>992</v>
      </c>
      <c r="F632" s="9" t="s">
        <v>32</v>
      </c>
      <c r="G632" s="9" t="s">
        <v>898</v>
      </c>
      <c r="H632" s="11">
        <v>4951.34</v>
      </c>
      <c r="I632" s="11">
        <v>4951.34</v>
      </c>
      <c r="J632" s="11">
        <v>0</v>
      </c>
      <c r="K632">
        <v>1</v>
      </c>
    </row>
    <row r="633" spans="1:11" x14ac:dyDescent="0.25">
      <c r="A633" s="9" t="s">
        <v>52</v>
      </c>
      <c r="B633" s="9" t="s">
        <v>23</v>
      </c>
      <c r="C633" s="10">
        <v>46003</v>
      </c>
      <c r="D633" s="10">
        <v>46003</v>
      </c>
      <c r="E633" s="9" t="s">
        <v>993</v>
      </c>
      <c r="F633" s="9" t="s">
        <v>32</v>
      </c>
      <c r="G633" s="9" t="s">
        <v>353</v>
      </c>
      <c r="H633" s="11">
        <v>1211.27</v>
      </c>
      <c r="I633" s="11">
        <v>1211.27</v>
      </c>
      <c r="J633" s="11">
        <v>0</v>
      </c>
      <c r="K633">
        <v>1</v>
      </c>
    </row>
    <row r="634" spans="1:11" x14ac:dyDescent="0.25">
      <c r="A634" s="9" t="s">
        <v>52</v>
      </c>
      <c r="B634" s="9" t="s">
        <v>23</v>
      </c>
      <c r="C634" s="10">
        <v>46003</v>
      </c>
      <c r="D634" s="10">
        <v>46003</v>
      </c>
      <c r="E634" s="9" t="s">
        <v>994</v>
      </c>
      <c r="F634" s="9" t="s">
        <v>32</v>
      </c>
      <c r="G634" s="9" t="s">
        <v>995</v>
      </c>
      <c r="H634" s="11">
        <v>1412.04</v>
      </c>
      <c r="I634" s="11">
        <v>1412.04</v>
      </c>
      <c r="J634" s="11">
        <v>0</v>
      </c>
      <c r="K634">
        <v>1</v>
      </c>
    </row>
    <row r="635" spans="1:11" x14ac:dyDescent="0.25">
      <c r="A635" s="9" t="s">
        <v>52</v>
      </c>
      <c r="B635" s="9" t="s">
        <v>23</v>
      </c>
      <c r="C635" s="10">
        <v>46003</v>
      </c>
      <c r="D635" s="10">
        <v>46003</v>
      </c>
      <c r="E635" s="9" t="s">
        <v>996</v>
      </c>
      <c r="F635" s="9" t="s">
        <v>32</v>
      </c>
      <c r="G635" s="9" t="s">
        <v>634</v>
      </c>
      <c r="H635" s="11">
        <v>5645.09</v>
      </c>
      <c r="I635" s="11">
        <v>5645.09</v>
      </c>
      <c r="J635" s="11">
        <v>0</v>
      </c>
      <c r="K635">
        <v>1</v>
      </c>
    </row>
    <row r="636" spans="1:11" x14ac:dyDescent="0.25">
      <c r="A636" s="9" t="s">
        <v>52</v>
      </c>
      <c r="B636" s="9" t="s">
        <v>23</v>
      </c>
      <c r="C636" s="10">
        <v>46003</v>
      </c>
      <c r="D636" s="10">
        <v>46003</v>
      </c>
      <c r="E636" s="9" t="s">
        <v>997</v>
      </c>
      <c r="F636" s="9" t="s">
        <v>32</v>
      </c>
      <c r="G636" s="9" t="s">
        <v>481</v>
      </c>
      <c r="H636" s="11">
        <v>1200.24</v>
      </c>
      <c r="I636" s="11">
        <v>1200.24</v>
      </c>
      <c r="J636" s="11">
        <v>0</v>
      </c>
      <c r="K636">
        <v>1</v>
      </c>
    </row>
    <row r="637" spans="1:11" x14ac:dyDescent="0.25">
      <c r="A637" s="9" t="s">
        <v>52</v>
      </c>
      <c r="B637" s="9" t="s">
        <v>23</v>
      </c>
      <c r="C637" s="10">
        <v>46003</v>
      </c>
      <c r="D637" s="10">
        <v>46003</v>
      </c>
      <c r="E637" s="9" t="s">
        <v>998</v>
      </c>
      <c r="F637" s="9" t="s">
        <v>32</v>
      </c>
      <c r="G637" s="9" t="s">
        <v>359</v>
      </c>
      <c r="H637" s="11">
        <v>1650.01</v>
      </c>
      <c r="I637" s="11">
        <v>1650.01</v>
      </c>
      <c r="J637" s="11">
        <v>0</v>
      </c>
      <c r="K637">
        <v>1</v>
      </c>
    </row>
    <row r="638" spans="1:11" x14ac:dyDescent="0.25">
      <c r="A638" s="9" t="s">
        <v>52</v>
      </c>
      <c r="B638" s="9" t="s">
        <v>23</v>
      </c>
      <c r="C638" s="10">
        <v>46003</v>
      </c>
      <c r="D638" s="10">
        <v>46003</v>
      </c>
      <c r="E638" s="9" t="s">
        <v>999</v>
      </c>
      <c r="F638" s="9" t="s">
        <v>32</v>
      </c>
      <c r="G638" s="9" t="s">
        <v>540</v>
      </c>
      <c r="H638" s="11">
        <v>1841.4</v>
      </c>
      <c r="I638" s="11">
        <v>1841.4</v>
      </c>
      <c r="J638" s="11">
        <v>0</v>
      </c>
      <c r="K638">
        <v>1</v>
      </c>
    </row>
    <row r="639" spans="1:11" x14ac:dyDescent="0.25">
      <c r="A639" s="9" t="s">
        <v>52</v>
      </c>
      <c r="B639" s="9" t="s">
        <v>23</v>
      </c>
      <c r="C639" s="10">
        <v>46003</v>
      </c>
      <c r="D639" s="10">
        <v>46003</v>
      </c>
      <c r="E639" s="9" t="s">
        <v>1000</v>
      </c>
      <c r="F639" s="9" t="s">
        <v>32</v>
      </c>
      <c r="G639" s="9" t="s">
        <v>1001</v>
      </c>
      <c r="H639" s="11">
        <v>1871.77</v>
      </c>
      <c r="I639" s="11">
        <v>1871.77</v>
      </c>
      <c r="J639" s="11">
        <v>0</v>
      </c>
      <c r="K639">
        <v>1</v>
      </c>
    </row>
    <row r="640" spans="1:11" x14ac:dyDescent="0.25">
      <c r="A640" s="9" t="s">
        <v>52</v>
      </c>
      <c r="B640" s="9" t="s">
        <v>23</v>
      </c>
      <c r="C640" s="10">
        <v>46003</v>
      </c>
      <c r="D640" s="10">
        <v>46003</v>
      </c>
      <c r="E640" s="9" t="s">
        <v>1002</v>
      </c>
      <c r="F640" s="9" t="s">
        <v>32</v>
      </c>
      <c r="G640" s="9" t="s">
        <v>756</v>
      </c>
      <c r="H640" s="11">
        <v>1258</v>
      </c>
      <c r="I640" s="11">
        <v>1258</v>
      </c>
      <c r="J640" s="11">
        <v>0</v>
      </c>
      <c r="K640">
        <v>1</v>
      </c>
    </row>
    <row r="641" spans="1:11" x14ac:dyDescent="0.25">
      <c r="A641" s="9" t="s">
        <v>52</v>
      </c>
      <c r="B641" s="9" t="s">
        <v>23</v>
      </c>
      <c r="C641" s="10">
        <v>46003</v>
      </c>
      <c r="D641" s="10">
        <v>46003</v>
      </c>
      <c r="E641" s="9" t="s">
        <v>1003</v>
      </c>
      <c r="F641" s="9" t="s">
        <v>32</v>
      </c>
      <c r="G641" s="9" t="s">
        <v>1004</v>
      </c>
      <c r="H641" s="11">
        <v>999.32</v>
      </c>
      <c r="I641" s="11">
        <v>999.32</v>
      </c>
      <c r="J641" s="11">
        <v>0</v>
      </c>
      <c r="K641">
        <v>1</v>
      </c>
    </row>
    <row r="642" spans="1:11" x14ac:dyDescent="0.25">
      <c r="A642" s="9" t="s">
        <v>52</v>
      </c>
      <c r="B642" s="9" t="s">
        <v>23</v>
      </c>
      <c r="C642" s="10">
        <v>46003</v>
      </c>
      <c r="D642" s="10">
        <v>46003</v>
      </c>
      <c r="E642" s="9" t="s">
        <v>1005</v>
      </c>
      <c r="F642" s="9" t="s">
        <v>32</v>
      </c>
      <c r="G642" s="9" t="s">
        <v>1006</v>
      </c>
      <c r="H642" s="11">
        <v>625.88</v>
      </c>
      <c r="I642" s="11">
        <v>625.88</v>
      </c>
      <c r="J642" s="11">
        <v>0</v>
      </c>
      <c r="K642">
        <v>1</v>
      </c>
    </row>
    <row r="643" spans="1:11" x14ac:dyDescent="0.25">
      <c r="A643" s="9" t="s">
        <v>52</v>
      </c>
      <c r="B643" s="9" t="s">
        <v>23</v>
      </c>
      <c r="C643" s="10">
        <v>46003</v>
      </c>
      <c r="D643" s="10">
        <v>46003</v>
      </c>
      <c r="E643" s="9" t="s">
        <v>1007</v>
      </c>
      <c r="F643" s="9" t="s">
        <v>32</v>
      </c>
      <c r="G643" s="9" t="s">
        <v>774</v>
      </c>
      <c r="H643" s="11">
        <v>922.2</v>
      </c>
      <c r="I643" s="11">
        <v>922.2</v>
      </c>
      <c r="J643" s="11">
        <v>0</v>
      </c>
      <c r="K643">
        <v>1</v>
      </c>
    </row>
    <row r="644" spans="1:11" x14ac:dyDescent="0.25">
      <c r="A644" s="9" t="s">
        <v>52</v>
      </c>
      <c r="B644" s="9" t="s">
        <v>23</v>
      </c>
      <c r="C644" s="10">
        <v>46003</v>
      </c>
      <c r="D644" s="10">
        <v>46003</v>
      </c>
      <c r="E644" s="9" t="s">
        <v>1008</v>
      </c>
      <c r="F644" s="9" t="s">
        <v>32</v>
      </c>
      <c r="G644" s="9" t="s">
        <v>194</v>
      </c>
      <c r="H644" s="11">
        <v>830.38</v>
      </c>
      <c r="I644" s="11">
        <v>830.38</v>
      </c>
      <c r="J644" s="11">
        <v>0</v>
      </c>
      <c r="K644">
        <v>1</v>
      </c>
    </row>
    <row r="645" spans="1:11" x14ac:dyDescent="0.25">
      <c r="A645" s="9" t="s">
        <v>52</v>
      </c>
      <c r="B645" s="9" t="s">
        <v>23</v>
      </c>
      <c r="C645" s="10">
        <v>46003</v>
      </c>
      <c r="D645" s="10">
        <v>46003</v>
      </c>
      <c r="E645" s="9" t="s">
        <v>1009</v>
      </c>
      <c r="F645" s="9" t="s">
        <v>32</v>
      </c>
      <c r="G645" s="9" t="s">
        <v>574</v>
      </c>
      <c r="H645" s="11">
        <v>662.87</v>
      </c>
      <c r="I645" s="11">
        <v>662.87</v>
      </c>
      <c r="J645" s="11">
        <v>0</v>
      </c>
      <c r="K645">
        <v>1</v>
      </c>
    </row>
    <row r="646" spans="1:11" x14ac:dyDescent="0.25">
      <c r="A646" s="9" t="s">
        <v>52</v>
      </c>
      <c r="B646" s="9" t="s">
        <v>23</v>
      </c>
      <c r="C646" s="10">
        <v>46003</v>
      </c>
      <c r="D646" s="10">
        <v>46003</v>
      </c>
      <c r="E646" s="9" t="s">
        <v>1010</v>
      </c>
      <c r="F646" s="9" t="s">
        <v>32</v>
      </c>
      <c r="G646" s="9" t="s">
        <v>58</v>
      </c>
      <c r="H646" s="11">
        <v>6548.48</v>
      </c>
      <c r="I646" s="11">
        <v>6548.48</v>
      </c>
      <c r="J646" s="11">
        <v>0</v>
      </c>
      <c r="K646">
        <v>1</v>
      </c>
    </row>
    <row r="647" spans="1:11" x14ac:dyDescent="0.25">
      <c r="A647" s="9" t="s">
        <v>52</v>
      </c>
      <c r="B647" s="9" t="s">
        <v>23</v>
      </c>
      <c r="C647" s="10">
        <v>46003</v>
      </c>
      <c r="D647" s="10">
        <v>46003</v>
      </c>
      <c r="E647" s="9" t="s">
        <v>1011</v>
      </c>
      <c r="F647" s="9" t="s">
        <v>141</v>
      </c>
      <c r="G647" s="9" t="s">
        <v>1012</v>
      </c>
      <c r="H647" s="11">
        <v>-3179.28</v>
      </c>
      <c r="I647" s="11">
        <v>-3179.28</v>
      </c>
      <c r="J647" s="11">
        <v>0</v>
      </c>
      <c r="K647">
        <v>1</v>
      </c>
    </row>
    <row r="648" spans="1:11" x14ac:dyDescent="0.25">
      <c r="A648" s="9" t="s">
        <v>52</v>
      </c>
      <c r="B648" s="9" t="s">
        <v>23</v>
      </c>
      <c r="C648" s="10">
        <v>46003</v>
      </c>
      <c r="D648" s="10">
        <v>46003</v>
      </c>
      <c r="E648" s="9" t="s">
        <v>1013</v>
      </c>
      <c r="F648" s="9" t="s">
        <v>141</v>
      </c>
      <c r="G648" s="9" t="s">
        <v>1014</v>
      </c>
      <c r="H648" s="11">
        <v>-4563.07</v>
      </c>
      <c r="I648" s="11">
        <v>-4563.07</v>
      </c>
      <c r="J648" s="11">
        <v>0</v>
      </c>
      <c r="K648">
        <v>1</v>
      </c>
    </row>
    <row r="649" spans="1:11" x14ac:dyDescent="0.25">
      <c r="A649" s="9" t="s">
        <v>52</v>
      </c>
      <c r="B649" s="9" t="s">
        <v>23</v>
      </c>
      <c r="C649" s="10">
        <v>46003</v>
      </c>
      <c r="D649" s="10">
        <v>46003</v>
      </c>
      <c r="E649" s="9" t="s">
        <v>1015</v>
      </c>
      <c r="F649" s="9" t="s">
        <v>141</v>
      </c>
      <c r="G649" s="9" t="s">
        <v>1016</v>
      </c>
      <c r="H649" s="11">
        <v>-8938.86</v>
      </c>
      <c r="I649" s="11">
        <v>-8938.86</v>
      </c>
      <c r="J649" s="11">
        <v>0</v>
      </c>
      <c r="K649">
        <v>1</v>
      </c>
    </row>
    <row r="650" spans="1:11" x14ac:dyDescent="0.25">
      <c r="A650" s="9" t="s">
        <v>52</v>
      </c>
      <c r="B650" s="9" t="s">
        <v>23</v>
      </c>
      <c r="C650" s="10">
        <v>46003</v>
      </c>
      <c r="D650" s="10">
        <v>46003</v>
      </c>
      <c r="E650" s="9" t="s">
        <v>1017</v>
      </c>
      <c r="F650" s="9" t="s">
        <v>32</v>
      </c>
      <c r="G650" s="9" t="s">
        <v>190</v>
      </c>
      <c r="H650" s="11">
        <v>2271.42</v>
      </c>
      <c r="I650" s="11">
        <v>2271.42</v>
      </c>
      <c r="J650" s="11">
        <v>0</v>
      </c>
      <c r="K650">
        <v>1</v>
      </c>
    </row>
    <row r="651" spans="1:11" x14ac:dyDescent="0.25">
      <c r="A651" s="9" t="s">
        <v>52</v>
      </c>
      <c r="B651" s="9" t="s">
        <v>23</v>
      </c>
      <c r="C651" s="10">
        <v>46003</v>
      </c>
      <c r="D651" s="10">
        <v>46003</v>
      </c>
      <c r="E651" s="9" t="s">
        <v>1018</v>
      </c>
      <c r="F651" s="9" t="s">
        <v>32</v>
      </c>
      <c r="G651" s="9" t="s">
        <v>1019</v>
      </c>
      <c r="H651" s="11">
        <v>2915.51</v>
      </c>
      <c r="I651" s="11">
        <v>2915.51</v>
      </c>
      <c r="J651" s="11">
        <v>0</v>
      </c>
      <c r="K651">
        <v>1</v>
      </c>
    </row>
    <row r="652" spans="1:11" x14ac:dyDescent="0.25">
      <c r="A652" s="9" t="s">
        <v>52</v>
      </c>
      <c r="B652" s="9" t="s">
        <v>23</v>
      </c>
      <c r="C652" s="10">
        <v>46003</v>
      </c>
      <c r="D652" s="10">
        <v>46003</v>
      </c>
      <c r="E652" s="9" t="s">
        <v>1020</v>
      </c>
      <c r="F652" s="9" t="s">
        <v>32</v>
      </c>
      <c r="G652" s="9" t="s">
        <v>72</v>
      </c>
      <c r="H652" s="11">
        <v>3010.03</v>
      </c>
      <c r="I652" s="11">
        <v>3010.03</v>
      </c>
      <c r="J652" s="11">
        <v>0</v>
      </c>
      <c r="K652">
        <v>1</v>
      </c>
    </row>
    <row r="653" spans="1:11" x14ac:dyDescent="0.25">
      <c r="A653" s="9" t="s">
        <v>52</v>
      </c>
      <c r="B653" s="9" t="s">
        <v>23</v>
      </c>
      <c r="C653" s="10">
        <v>46003</v>
      </c>
      <c r="D653" s="10">
        <v>46003</v>
      </c>
      <c r="E653" s="9" t="s">
        <v>1021</v>
      </c>
      <c r="F653" s="9" t="s">
        <v>32</v>
      </c>
      <c r="G653" s="9" t="s">
        <v>347</v>
      </c>
      <c r="H653" s="11">
        <v>3540.05</v>
      </c>
      <c r="I653" s="11">
        <v>3540.05</v>
      </c>
      <c r="J653" s="11">
        <v>0</v>
      </c>
      <c r="K653">
        <v>1</v>
      </c>
    </row>
    <row r="654" spans="1:11" x14ac:dyDescent="0.25">
      <c r="A654" s="9" t="s">
        <v>52</v>
      </c>
      <c r="B654" s="9" t="s">
        <v>23</v>
      </c>
      <c r="C654" s="10">
        <v>46003</v>
      </c>
      <c r="D654" s="10">
        <v>46003</v>
      </c>
      <c r="E654" s="9" t="s">
        <v>1022</v>
      </c>
      <c r="F654" s="9" t="s">
        <v>32</v>
      </c>
      <c r="G654" s="9" t="s">
        <v>825</v>
      </c>
      <c r="H654" s="11">
        <v>4029.72</v>
      </c>
      <c r="I654" s="11">
        <v>4029.72</v>
      </c>
      <c r="J654" s="11">
        <v>0</v>
      </c>
      <c r="K654">
        <v>1</v>
      </c>
    </row>
    <row r="655" spans="1:11" x14ac:dyDescent="0.25">
      <c r="A655" s="9" t="s">
        <v>52</v>
      </c>
      <c r="B655" s="9" t="s">
        <v>23</v>
      </c>
      <c r="C655" s="10">
        <v>46003</v>
      </c>
      <c r="D655" s="10">
        <v>46003</v>
      </c>
      <c r="E655" s="9" t="s">
        <v>1023</v>
      </c>
      <c r="F655" s="9" t="s">
        <v>32</v>
      </c>
      <c r="G655" s="9" t="s">
        <v>428</v>
      </c>
      <c r="H655" s="11">
        <v>4523.8999999999996</v>
      </c>
      <c r="I655" s="11">
        <v>4523.8999999999996</v>
      </c>
      <c r="J655" s="11">
        <v>0</v>
      </c>
      <c r="K655">
        <v>1</v>
      </c>
    </row>
    <row r="656" spans="1:11" x14ac:dyDescent="0.25">
      <c r="A656" s="9" t="s">
        <v>52</v>
      </c>
      <c r="B656" s="9" t="s">
        <v>23</v>
      </c>
      <c r="C656" s="10">
        <v>46003</v>
      </c>
      <c r="D656" s="10">
        <v>46003</v>
      </c>
      <c r="E656" s="9" t="s">
        <v>1024</v>
      </c>
      <c r="F656" s="9" t="s">
        <v>32</v>
      </c>
      <c r="G656" s="9" t="s">
        <v>137</v>
      </c>
      <c r="H656" s="11">
        <v>990.21</v>
      </c>
      <c r="I656" s="11">
        <v>990.21</v>
      </c>
      <c r="J656" s="11">
        <v>0</v>
      </c>
      <c r="K656">
        <v>1</v>
      </c>
    </row>
    <row r="657" spans="1:11" x14ac:dyDescent="0.25">
      <c r="A657" s="9" t="s">
        <v>52</v>
      </c>
      <c r="B657" s="9" t="s">
        <v>23</v>
      </c>
      <c r="C657" s="10">
        <v>46003</v>
      </c>
      <c r="D657" s="10">
        <v>46003</v>
      </c>
      <c r="E657" s="9" t="s">
        <v>1025</v>
      </c>
      <c r="F657" s="9" t="s">
        <v>32</v>
      </c>
      <c r="G657" s="9" t="s">
        <v>1026</v>
      </c>
      <c r="H657" s="11">
        <v>2810.9</v>
      </c>
      <c r="I657" s="11">
        <v>2810.9</v>
      </c>
      <c r="J657" s="11">
        <v>0</v>
      </c>
      <c r="K657">
        <v>1</v>
      </c>
    </row>
    <row r="658" spans="1:11" x14ac:dyDescent="0.25">
      <c r="A658" s="9" t="s">
        <v>52</v>
      </c>
      <c r="B658" s="9" t="s">
        <v>23</v>
      </c>
      <c r="C658" s="10">
        <v>46003</v>
      </c>
      <c r="D658" s="10">
        <v>46003</v>
      </c>
      <c r="E658" s="9" t="s">
        <v>1027</v>
      </c>
      <c r="F658" s="9" t="s">
        <v>32</v>
      </c>
      <c r="G658" s="9" t="s">
        <v>655</v>
      </c>
      <c r="H658" s="11">
        <v>2184.65</v>
      </c>
      <c r="I658" s="11">
        <v>2184.65</v>
      </c>
      <c r="J658" s="11">
        <v>0</v>
      </c>
      <c r="K658">
        <v>1</v>
      </c>
    </row>
    <row r="659" spans="1:11" x14ac:dyDescent="0.25">
      <c r="A659" s="9" t="s">
        <v>52</v>
      </c>
      <c r="B659" s="9" t="s">
        <v>23</v>
      </c>
      <c r="C659" s="10">
        <v>46003</v>
      </c>
      <c r="D659" s="10">
        <v>46003</v>
      </c>
      <c r="E659" s="9" t="s">
        <v>1028</v>
      </c>
      <c r="F659" s="9" t="s">
        <v>32</v>
      </c>
      <c r="G659" s="9" t="s">
        <v>66</v>
      </c>
      <c r="H659" s="11">
        <v>4757.59</v>
      </c>
      <c r="I659" s="11">
        <v>4757.59</v>
      </c>
      <c r="J659" s="11">
        <v>0</v>
      </c>
      <c r="K659">
        <v>1</v>
      </c>
    </row>
    <row r="660" spans="1:11" x14ac:dyDescent="0.25">
      <c r="A660" s="9" t="s">
        <v>52</v>
      </c>
      <c r="B660" s="9" t="s">
        <v>23</v>
      </c>
      <c r="C660" s="10">
        <v>46003</v>
      </c>
      <c r="D660" s="10">
        <v>46003</v>
      </c>
      <c r="E660" s="9" t="s">
        <v>1029</v>
      </c>
      <c r="F660" s="9" t="s">
        <v>32</v>
      </c>
      <c r="G660" s="9" t="s">
        <v>239</v>
      </c>
      <c r="H660" s="11">
        <v>2343.1799999999998</v>
      </c>
      <c r="I660" s="11">
        <v>2343.1799999999998</v>
      </c>
      <c r="J660" s="11">
        <v>0</v>
      </c>
      <c r="K660">
        <v>1</v>
      </c>
    </row>
    <row r="661" spans="1:11" x14ac:dyDescent="0.25">
      <c r="A661" s="9" t="s">
        <v>52</v>
      </c>
      <c r="B661" s="9" t="s">
        <v>23</v>
      </c>
      <c r="C661" s="10">
        <v>46003</v>
      </c>
      <c r="D661" s="10">
        <v>46003</v>
      </c>
      <c r="E661" s="9" t="s">
        <v>1030</v>
      </c>
      <c r="F661" s="9" t="s">
        <v>32</v>
      </c>
      <c r="G661" s="9" t="s">
        <v>393</v>
      </c>
      <c r="H661" s="11">
        <v>2012</v>
      </c>
      <c r="I661" s="11">
        <v>2012</v>
      </c>
      <c r="J661" s="11">
        <v>0</v>
      </c>
      <c r="K661">
        <v>1</v>
      </c>
    </row>
    <row r="662" spans="1:11" x14ac:dyDescent="0.25">
      <c r="A662" s="9" t="s">
        <v>52</v>
      </c>
      <c r="B662" s="9" t="s">
        <v>23</v>
      </c>
      <c r="C662" s="10">
        <v>46003</v>
      </c>
      <c r="D662" s="10">
        <v>46003</v>
      </c>
      <c r="E662" s="9" t="s">
        <v>1031</v>
      </c>
      <c r="F662" s="9" t="s">
        <v>32</v>
      </c>
      <c r="G662" s="9" t="s">
        <v>442</v>
      </c>
      <c r="H662" s="11">
        <v>1795</v>
      </c>
      <c r="I662" s="11">
        <v>1795</v>
      </c>
      <c r="J662" s="11">
        <v>0</v>
      </c>
      <c r="K662">
        <v>1</v>
      </c>
    </row>
    <row r="663" spans="1:11" x14ac:dyDescent="0.25">
      <c r="A663" s="9" t="s">
        <v>52</v>
      </c>
      <c r="B663" s="9" t="s">
        <v>23</v>
      </c>
      <c r="C663" s="10">
        <v>46003</v>
      </c>
      <c r="D663" s="10">
        <v>46003</v>
      </c>
      <c r="E663" s="9" t="s">
        <v>1032</v>
      </c>
      <c r="F663" s="9" t="s">
        <v>32</v>
      </c>
      <c r="G663" s="9" t="s">
        <v>252</v>
      </c>
      <c r="H663" s="11">
        <v>3208.64</v>
      </c>
      <c r="I663" s="11">
        <v>3208.64</v>
      </c>
      <c r="J663" s="11">
        <v>0</v>
      </c>
      <c r="K663">
        <v>1</v>
      </c>
    </row>
    <row r="664" spans="1:11" x14ac:dyDescent="0.25">
      <c r="A664" s="9" t="s">
        <v>52</v>
      </c>
      <c r="B664" s="9" t="s">
        <v>23</v>
      </c>
      <c r="C664" s="10">
        <v>46003</v>
      </c>
      <c r="D664" s="10">
        <v>46003</v>
      </c>
      <c r="E664" s="9" t="s">
        <v>1033</v>
      </c>
      <c r="F664" s="9" t="s">
        <v>32</v>
      </c>
      <c r="G664" s="9" t="s">
        <v>68</v>
      </c>
      <c r="H664" s="11">
        <v>6724.77</v>
      </c>
      <c r="I664" s="11">
        <v>6724.77</v>
      </c>
      <c r="J664" s="11">
        <v>0</v>
      </c>
      <c r="K664">
        <v>1</v>
      </c>
    </row>
    <row r="665" spans="1:11" x14ac:dyDescent="0.25">
      <c r="A665" s="9" t="s">
        <v>52</v>
      </c>
      <c r="B665" s="9" t="s">
        <v>23</v>
      </c>
      <c r="C665" s="10">
        <v>46003</v>
      </c>
      <c r="D665" s="10">
        <v>46003</v>
      </c>
      <c r="E665" s="9" t="s">
        <v>1034</v>
      </c>
      <c r="F665" s="9" t="s">
        <v>32</v>
      </c>
      <c r="G665" s="9" t="s">
        <v>122</v>
      </c>
      <c r="H665" s="11">
        <v>2602.71</v>
      </c>
      <c r="I665" s="11">
        <v>2602.71</v>
      </c>
      <c r="J665" s="11">
        <v>0</v>
      </c>
      <c r="K665">
        <v>1</v>
      </c>
    </row>
    <row r="666" spans="1:11" x14ac:dyDescent="0.25">
      <c r="A666" s="9" t="s">
        <v>52</v>
      </c>
      <c r="B666" s="9" t="s">
        <v>23</v>
      </c>
      <c r="C666" s="10">
        <v>46003</v>
      </c>
      <c r="D666" s="10">
        <v>46003</v>
      </c>
      <c r="E666" s="9" t="s">
        <v>1035</v>
      </c>
      <c r="F666" s="9" t="s">
        <v>32</v>
      </c>
      <c r="G666" s="9" t="s">
        <v>349</v>
      </c>
      <c r="H666" s="11">
        <v>1817.48</v>
      </c>
      <c r="I666" s="11">
        <v>1817.48</v>
      </c>
      <c r="J666" s="11">
        <v>0</v>
      </c>
      <c r="K666">
        <v>1</v>
      </c>
    </row>
    <row r="667" spans="1:11" x14ac:dyDescent="0.25">
      <c r="A667" s="9" t="s">
        <v>52</v>
      </c>
      <c r="B667" s="9" t="s">
        <v>23</v>
      </c>
      <c r="C667" s="10">
        <v>46003</v>
      </c>
      <c r="D667" s="10">
        <v>46003</v>
      </c>
      <c r="E667" s="9" t="s">
        <v>1036</v>
      </c>
      <c r="F667" s="9" t="s">
        <v>32</v>
      </c>
      <c r="G667" s="9" t="s">
        <v>33</v>
      </c>
      <c r="H667" s="11">
        <v>18935.169999999998</v>
      </c>
      <c r="I667" s="11">
        <v>18935.169999999998</v>
      </c>
      <c r="J667" s="11">
        <v>0</v>
      </c>
      <c r="K667">
        <v>1</v>
      </c>
    </row>
    <row r="668" spans="1:11" x14ac:dyDescent="0.25">
      <c r="A668" s="9" t="s">
        <v>52</v>
      </c>
      <c r="B668" s="9" t="s">
        <v>23</v>
      </c>
      <c r="C668" s="10">
        <v>46003</v>
      </c>
      <c r="D668" s="10">
        <v>46003</v>
      </c>
      <c r="E668" s="9" t="s">
        <v>1037</v>
      </c>
      <c r="F668" s="9" t="s">
        <v>32</v>
      </c>
      <c r="G668" s="9" t="s">
        <v>279</v>
      </c>
      <c r="H668" s="11">
        <v>5842.78</v>
      </c>
      <c r="I668" s="11">
        <v>5842.78</v>
      </c>
      <c r="J668" s="11">
        <v>0</v>
      </c>
      <c r="K668">
        <v>1</v>
      </c>
    </row>
    <row r="669" spans="1:11" x14ac:dyDescent="0.25">
      <c r="A669" s="9" t="s">
        <v>52</v>
      </c>
      <c r="B669" s="9" t="s">
        <v>23</v>
      </c>
      <c r="C669" s="10">
        <v>46003</v>
      </c>
      <c r="D669" s="10">
        <v>46003</v>
      </c>
      <c r="E669" s="9" t="s">
        <v>1038</v>
      </c>
      <c r="F669" s="9" t="s">
        <v>32</v>
      </c>
      <c r="G669" s="9" t="s">
        <v>277</v>
      </c>
      <c r="H669" s="11">
        <v>32348.34</v>
      </c>
      <c r="I669" s="11">
        <v>32348.34</v>
      </c>
      <c r="J669" s="11">
        <v>0</v>
      </c>
      <c r="K669">
        <v>1</v>
      </c>
    </row>
    <row r="670" spans="1:11" x14ac:dyDescent="0.25">
      <c r="A670" s="9" t="s">
        <v>52</v>
      </c>
      <c r="B670" s="9" t="s">
        <v>23</v>
      </c>
      <c r="C670" s="10">
        <v>46003</v>
      </c>
      <c r="D670" s="10">
        <v>46003</v>
      </c>
      <c r="E670" s="9" t="s">
        <v>1039</v>
      </c>
      <c r="F670" s="9" t="s">
        <v>32</v>
      </c>
      <c r="G670" s="9" t="s">
        <v>243</v>
      </c>
      <c r="H670" s="11">
        <v>12093.48</v>
      </c>
      <c r="I670" s="11">
        <v>12093.48</v>
      </c>
      <c r="J670" s="11">
        <v>0</v>
      </c>
      <c r="K670">
        <v>1</v>
      </c>
    </row>
    <row r="671" spans="1:11" x14ac:dyDescent="0.25">
      <c r="A671" s="9" t="s">
        <v>52</v>
      </c>
      <c r="B671" s="9" t="s">
        <v>23</v>
      </c>
      <c r="C671" s="10">
        <v>46003</v>
      </c>
      <c r="D671" s="10">
        <v>46003</v>
      </c>
      <c r="E671" s="9" t="s">
        <v>1040</v>
      </c>
      <c r="F671" s="9" t="s">
        <v>32</v>
      </c>
      <c r="G671" s="9" t="s">
        <v>281</v>
      </c>
      <c r="H671" s="11">
        <v>8995.1200000000008</v>
      </c>
      <c r="I671" s="11">
        <v>8995.1200000000008</v>
      </c>
      <c r="J671" s="11">
        <v>0</v>
      </c>
      <c r="K671">
        <v>1</v>
      </c>
    </row>
    <row r="672" spans="1:11" x14ac:dyDescent="0.25">
      <c r="A672" s="9" t="s">
        <v>52</v>
      </c>
      <c r="B672" s="9" t="s">
        <v>23</v>
      </c>
      <c r="C672" s="10">
        <v>46003</v>
      </c>
      <c r="D672" s="10">
        <v>46003</v>
      </c>
      <c r="E672" s="9" t="s">
        <v>1041</v>
      </c>
      <c r="F672" s="9" t="s">
        <v>32</v>
      </c>
      <c r="G672" s="9" t="s">
        <v>270</v>
      </c>
      <c r="H672" s="11">
        <v>11776.77</v>
      </c>
      <c r="I672" s="11">
        <v>11776.77</v>
      </c>
      <c r="J672" s="11">
        <v>0</v>
      </c>
      <c r="K672">
        <v>1</v>
      </c>
    </row>
    <row r="673" spans="1:11" x14ac:dyDescent="0.25">
      <c r="A673" s="9" t="s">
        <v>52</v>
      </c>
      <c r="B673" s="9" t="s">
        <v>55</v>
      </c>
      <c r="C673" s="10">
        <v>46006</v>
      </c>
      <c r="D673" s="10">
        <v>46006</v>
      </c>
      <c r="E673" s="9" t="s">
        <v>1042</v>
      </c>
      <c r="F673" s="9" t="s">
        <v>57</v>
      </c>
      <c r="G673" s="9" t="s">
        <v>224</v>
      </c>
      <c r="H673" s="11">
        <v>17266.87</v>
      </c>
      <c r="I673" s="11">
        <v>17266.87</v>
      </c>
      <c r="J673" s="11">
        <v>0</v>
      </c>
      <c r="K673">
        <v>1</v>
      </c>
    </row>
    <row r="674" spans="1:11" x14ac:dyDescent="0.25">
      <c r="A674" s="9" t="s">
        <v>52</v>
      </c>
      <c r="B674" s="9" t="s">
        <v>23</v>
      </c>
      <c r="C674" s="10">
        <v>46006</v>
      </c>
      <c r="D674" s="10">
        <v>46006</v>
      </c>
      <c r="E674" s="9" t="s">
        <v>1043</v>
      </c>
      <c r="F674" s="9" t="s">
        <v>32</v>
      </c>
      <c r="G674" s="9" t="s">
        <v>68</v>
      </c>
      <c r="H674" s="11">
        <v>982.94</v>
      </c>
      <c r="I674" s="11">
        <v>982.94</v>
      </c>
      <c r="J674" s="11">
        <v>0</v>
      </c>
      <c r="K674">
        <v>1</v>
      </c>
    </row>
    <row r="675" spans="1:11" x14ac:dyDescent="0.25">
      <c r="A675" s="9" t="s">
        <v>52</v>
      </c>
      <c r="B675" s="9" t="s">
        <v>23</v>
      </c>
      <c r="C675" s="10">
        <v>46006</v>
      </c>
      <c r="D675" s="10">
        <v>46006</v>
      </c>
      <c r="E675" s="9" t="s">
        <v>1044</v>
      </c>
      <c r="F675" s="9" t="s">
        <v>32</v>
      </c>
      <c r="G675" s="9" t="s">
        <v>122</v>
      </c>
      <c r="H675" s="11">
        <v>5179.45</v>
      </c>
      <c r="I675" s="11">
        <v>5179.45</v>
      </c>
      <c r="J675" s="11">
        <v>0</v>
      </c>
      <c r="K675">
        <v>1</v>
      </c>
    </row>
    <row r="676" spans="1:11" x14ac:dyDescent="0.25">
      <c r="A676" s="9" t="s">
        <v>52</v>
      </c>
      <c r="B676" s="9" t="s">
        <v>23</v>
      </c>
      <c r="C676" s="10">
        <v>46006</v>
      </c>
      <c r="D676" s="10">
        <v>46006</v>
      </c>
      <c r="E676" s="9" t="s">
        <v>1045</v>
      </c>
      <c r="F676" s="9" t="s">
        <v>32</v>
      </c>
      <c r="G676" s="9" t="s">
        <v>309</v>
      </c>
      <c r="H676" s="11">
        <v>6845.29</v>
      </c>
      <c r="I676" s="11">
        <v>6845.29</v>
      </c>
      <c r="J676" s="11">
        <v>0</v>
      </c>
      <c r="K676">
        <v>1</v>
      </c>
    </row>
    <row r="677" spans="1:11" x14ac:dyDescent="0.25">
      <c r="A677" s="9" t="s">
        <v>52</v>
      </c>
      <c r="B677" s="9" t="s">
        <v>23</v>
      </c>
      <c r="C677" s="10">
        <v>46006</v>
      </c>
      <c r="D677" s="10">
        <v>46006</v>
      </c>
      <c r="E677" s="9" t="s">
        <v>1046</v>
      </c>
      <c r="F677" s="9" t="s">
        <v>32</v>
      </c>
      <c r="G677" s="9" t="s">
        <v>230</v>
      </c>
      <c r="H677" s="11">
        <v>716.34</v>
      </c>
      <c r="I677" s="11">
        <v>716.34</v>
      </c>
      <c r="J677" s="11">
        <v>0</v>
      </c>
      <c r="K677">
        <v>1</v>
      </c>
    </row>
    <row r="678" spans="1:11" x14ac:dyDescent="0.25">
      <c r="A678" s="9" t="s">
        <v>52</v>
      </c>
      <c r="B678" s="9" t="s">
        <v>23</v>
      </c>
      <c r="C678" s="10">
        <v>46006</v>
      </c>
      <c r="D678" s="10">
        <v>46006</v>
      </c>
      <c r="E678" s="9" t="s">
        <v>1047</v>
      </c>
      <c r="F678" s="9" t="s">
        <v>32</v>
      </c>
      <c r="G678" s="9" t="s">
        <v>1048</v>
      </c>
      <c r="H678" s="11">
        <v>3745.71</v>
      </c>
      <c r="I678" s="11">
        <v>3745.71</v>
      </c>
      <c r="J678" s="11">
        <v>0</v>
      </c>
      <c r="K678">
        <v>1</v>
      </c>
    </row>
    <row r="679" spans="1:11" x14ac:dyDescent="0.25">
      <c r="A679" s="9" t="s">
        <v>52</v>
      </c>
      <c r="B679" s="9" t="s">
        <v>23</v>
      </c>
      <c r="C679" s="10">
        <v>46006</v>
      </c>
      <c r="D679" s="10">
        <v>46006</v>
      </c>
      <c r="E679" s="9" t="s">
        <v>1049</v>
      </c>
      <c r="F679" s="9" t="s">
        <v>32</v>
      </c>
      <c r="G679" s="9" t="s">
        <v>651</v>
      </c>
      <c r="H679" s="11">
        <v>5515.6</v>
      </c>
      <c r="I679" s="11">
        <v>5515.6</v>
      </c>
      <c r="J679" s="11">
        <v>0</v>
      </c>
      <c r="K679">
        <v>1</v>
      </c>
    </row>
    <row r="680" spans="1:11" x14ac:dyDescent="0.25">
      <c r="A680" s="9" t="s">
        <v>52</v>
      </c>
      <c r="B680" s="9" t="s">
        <v>23</v>
      </c>
      <c r="C680" s="10">
        <v>46006</v>
      </c>
      <c r="D680" s="10">
        <v>46006</v>
      </c>
      <c r="E680" s="9" t="s">
        <v>1050</v>
      </c>
      <c r="F680" s="9" t="s">
        <v>32</v>
      </c>
      <c r="G680" s="9" t="s">
        <v>243</v>
      </c>
      <c r="H680" s="11">
        <v>6423.67</v>
      </c>
      <c r="I680" s="11">
        <v>6423.67</v>
      </c>
      <c r="J680" s="11">
        <v>0</v>
      </c>
      <c r="K680">
        <v>1</v>
      </c>
    </row>
    <row r="681" spans="1:11" x14ac:dyDescent="0.25">
      <c r="A681" s="9" t="s">
        <v>52</v>
      </c>
      <c r="B681" s="9" t="s">
        <v>23</v>
      </c>
      <c r="C681" s="10">
        <v>46006</v>
      </c>
      <c r="D681" s="10">
        <v>46006</v>
      </c>
      <c r="E681" s="9" t="s">
        <v>1051</v>
      </c>
      <c r="F681" s="9" t="s">
        <v>32</v>
      </c>
      <c r="G681" s="9" t="s">
        <v>770</v>
      </c>
      <c r="H681" s="11">
        <v>1657.37</v>
      </c>
      <c r="I681" s="11">
        <v>1657.37</v>
      </c>
      <c r="J681" s="11">
        <v>0</v>
      </c>
      <c r="K681">
        <v>1</v>
      </c>
    </row>
    <row r="682" spans="1:11" x14ac:dyDescent="0.25">
      <c r="A682" s="9" t="s">
        <v>52</v>
      </c>
      <c r="B682" s="9" t="s">
        <v>23</v>
      </c>
      <c r="C682" s="10">
        <v>46006</v>
      </c>
      <c r="D682" s="10">
        <v>46006</v>
      </c>
      <c r="E682" s="9" t="s">
        <v>1052</v>
      </c>
      <c r="F682" s="9" t="s">
        <v>32</v>
      </c>
      <c r="G682" s="9" t="s">
        <v>256</v>
      </c>
      <c r="H682" s="11">
        <v>2502.06</v>
      </c>
      <c r="I682" s="11">
        <v>2502.06</v>
      </c>
      <c r="J682" s="11">
        <v>0</v>
      </c>
      <c r="K682">
        <v>1</v>
      </c>
    </row>
    <row r="683" spans="1:11" x14ac:dyDescent="0.25">
      <c r="A683" s="9" t="s">
        <v>52</v>
      </c>
      <c r="B683" s="9" t="s">
        <v>23</v>
      </c>
      <c r="C683" s="10">
        <v>46006</v>
      </c>
      <c r="D683" s="10">
        <v>46006</v>
      </c>
      <c r="E683" s="9" t="s">
        <v>1053</v>
      </c>
      <c r="F683" s="9" t="s">
        <v>32</v>
      </c>
      <c r="G683" s="9" t="s">
        <v>438</v>
      </c>
      <c r="H683" s="11">
        <v>725.33</v>
      </c>
      <c r="I683" s="11">
        <v>725.33</v>
      </c>
      <c r="J683" s="11">
        <v>0</v>
      </c>
      <c r="K683">
        <v>1</v>
      </c>
    </row>
    <row r="684" spans="1:11" x14ac:dyDescent="0.25">
      <c r="A684" s="9" t="s">
        <v>52</v>
      </c>
      <c r="B684" s="9" t="s">
        <v>23</v>
      </c>
      <c r="C684" s="10">
        <v>46006</v>
      </c>
      <c r="D684" s="10">
        <v>46006</v>
      </c>
      <c r="E684" s="9" t="s">
        <v>1054</v>
      </c>
      <c r="F684" s="9" t="s">
        <v>32</v>
      </c>
      <c r="G684" s="9" t="s">
        <v>133</v>
      </c>
      <c r="H684" s="11">
        <v>9600.14</v>
      </c>
      <c r="I684" s="11">
        <v>9600.14</v>
      </c>
      <c r="J684" s="11">
        <v>0</v>
      </c>
      <c r="K684">
        <v>1</v>
      </c>
    </row>
    <row r="685" spans="1:11" x14ac:dyDescent="0.25">
      <c r="A685" s="9" t="s">
        <v>52</v>
      </c>
      <c r="B685" s="9" t="s">
        <v>23</v>
      </c>
      <c r="C685" s="10">
        <v>46006</v>
      </c>
      <c r="D685" s="10">
        <v>46006</v>
      </c>
      <c r="E685" s="9" t="s">
        <v>1055</v>
      </c>
      <c r="F685" s="9" t="s">
        <v>32</v>
      </c>
      <c r="G685" s="9" t="s">
        <v>68</v>
      </c>
      <c r="H685" s="11">
        <v>3741.66</v>
      </c>
      <c r="I685" s="11">
        <v>3741.66</v>
      </c>
      <c r="J685" s="11">
        <v>0</v>
      </c>
      <c r="K685">
        <v>1</v>
      </c>
    </row>
    <row r="686" spans="1:11" x14ac:dyDescent="0.25">
      <c r="A686" s="9" t="s">
        <v>52</v>
      </c>
      <c r="B686" s="9" t="s">
        <v>23</v>
      </c>
      <c r="C686" s="10">
        <v>46006</v>
      </c>
      <c r="D686" s="10">
        <v>46006</v>
      </c>
      <c r="E686" s="9" t="s">
        <v>1056</v>
      </c>
      <c r="F686" s="9" t="s">
        <v>32</v>
      </c>
      <c r="G686" s="9" t="s">
        <v>1057</v>
      </c>
      <c r="H686" s="11">
        <v>2762.36</v>
      </c>
      <c r="I686" s="11">
        <v>2762.36</v>
      </c>
      <c r="J686" s="11">
        <v>0</v>
      </c>
      <c r="K686">
        <v>1</v>
      </c>
    </row>
    <row r="687" spans="1:11" x14ac:dyDescent="0.25">
      <c r="A687" s="9" t="s">
        <v>52</v>
      </c>
      <c r="B687" s="9" t="s">
        <v>23</v>
      </c>
      <c r="C687" s="10">
        <v>46006</v>
      </c>
      <c r="D687" s="10">
        <v>46006</v>
      </c>
      <c r="E687" s="9" t="s">
        <v>1058</v>
      </c>
      <c r="F687" s="9" t="s">
        <v>32</v>
      </c>
      <c r="G687" s="9" t="s">
        <v>206</v>
      </c>
      <c r="H687" s="11">
        <v>858.4</v>
      </c>
      <c r="I687" s="11">
        <v>858.4</v>
      </c>
      <c r="J687" s="11">
        <v>0</v>
      </c>
      <c r="K687">
        <v>1</v>
      </c>
    </row>
    <row r="688" spans="1:11" x14ac:dyDescent="0.25">
      <c r="A688" s="9" t="s">
        <v>52</v>
      </c>
      <c r="B688" s="9" t="s">
        <v>23</v>
      </c>
      <c r="C688" s="10">
        <v>46006</v>
      </c>
      <c r="D688" s="10">
        <v>46006</v>
      </c>
      <c r="E688" s="9" t="s">
        <v>1059</v>
      </c>
      <c r="F688" s="9" t="s">
        <v>32</v>
      </c>
      <c r="G688" s="9" t="s">
        <v>651</v>
      </c>
      <c r="H688" s="11">
        <v>2396.6</v>
      </c>
      <c r="I688" s="11">
        <v>2396.6</v>
      </c>
      <c r="J688" s="11">
        <v>0</v>
      </c>
      <c r="K688">
        <v>1</v>
      </c>
    </row>
    <row r="689" spans="1:11" x14ac:dyDescent="0.25">
      <c r="A689" s="9" t="s">
        <v>52</v>
      </c>
      <c r="B689" s="9" t="s">
        <v>23</v>
      </c>
      <c r="C689" s="10">
        <v>46006</v>
      </c>
      <c r="D689" s="10">
        <v>46006</v>
      </c>
      <c r="E689" s="9" t="s">
        <v>1060</v>
      </c>
      <c r="F689" s="9" t="s">
        <v>32</v>
      </c>
      <c r="G689" s="9" t="s">
        <v>494</v>
      </c>
      <c r="H689" s="11">
        <v>2221.88</v>
      </c>
      <c r="I689" s="11">
        <v>2221.88</v>
      </c>
      <c r="J689" s="11">
        <v>0</v>
      </c>
      <c r="K689">
        <v>1</v>
      </c>
    </row>
    <row r="690" spans="1:11" x14ac:dyDescent="0.25">
      <c r="A690" s="9" t="s">
        <v>52</v>
      </c>
      <c r="B690" s="9" t="s">
        <v>23</v>
      </c>
      <c r="C690" s="10">
        <v>46006</v>
      </c>
      <c r="D690" s="10">
        <v>46006</v>
      </c>
      <c r="E690" s="9" t="s">
        <v>1061</v>
      </c>
      <c r="F690" s="9" t="s">
        <v>32</v>
      </c>
      <c r="G690" s="9" t="s">
        <v>247</v>
      </c>
      <c r="H690" s="11">
        <v>8363.51</v>
      </c>
      <c r="I690" s="11">
        <v>8363.51</v>
      </c>
      <c r="J690" s="11">
        <v>0</v>
      </c>
      <c r="K690">
        <v>1</v>
      </c>
    </row>
    <row r="691" spans="1:11" x14ac:dyDescent="0.25">
      <c r="A691" s="9" t="s">
        <v>52</v>
      </c>
      <c r="B691" s="9" t="s">
        <v>23</v>
      </c>
      <c r="C691" s="10">
        <v>46006</v>
      </c>
      <c r="D691" s="10">
        <v>46006</v>
      </c>
      <c r="E691" s="9" t="s">
        <v>1062</v>
      </c>
      <c r="F691" s="9" t="s">
        <v>32</v>
      </c>
      <c r="G691" s="9" t="s">
        <v>614</v>
      </c>
      <c r="H691" s="11">
        <v>1280.2</v>
      </c>
      <c r="I691" s="11">
        <v>1280.2</v>
      </c>
      <c r="J691" s="11">
        <v>0</v>
      </c>
      <c r="K691">
        <v>1</v>
      </c>
    </row>
    <row r="692" spans="1:11" x14ac:dyDescent="0.25">
      <c r="A692" s="9" t="s">
        <v>52</v>
      </c>
      <c r="B692" s="9" t="s">
        <v>23</v>
      </c>
      <c r="C692" s="10">
        <v>46006</v>
      </c>
      <c r="D692" s="10">
        <v>46006</v>
      </c>
      <c r="E692" s="9" t="s">
        <v>1063</v>
      </c>
      <c r="F692" s="9" t="s">
        <v>32</v>
      </c>
      <c r="G692" s="9" t="s">
        <v>1064</v>
      </c>
      <c r="H692" s="11">
        <v>1009.32</v>
      </c>
      <c r="I692" s="11">
        <v>1009.32</v>
      </c>
      <c r="J692" s="11">
        <v>0</v>
      </c>
      <c r="K692">
        <v>1</v>
      </c>
    </row>
    <row r="693" spans="1:11" x14ac:dyDescent="0.25">
      <c r="A693" s="9" t="s">
        <v>52</v>
      </c>
      <c r="B693" s="9" t="s">
        <v>23</v>
      </c>
      <c r="C693" s="10">
        <v>46006</v>
      </c>
      <c r="D693" s="10">
        <v>46006</v>
      </c>
      <c r="E693" s="9" t="s">
        <v>1065</v>
      </c>
      <c r="F693" s="9" t="s">
        <v>32</v>
      </c>
      <c r="G693" s="9" t="s">
        <v>226</v>
      </c>
      <c r="H693" s="11">
        <v>7928.71</v>
      </c>
      <c r="I693" s="11">
        <v>7928.71</v>
      </c>
      <c r="J693" s="11">
        <v>0</v>
      </c>
      <c r="K693">
        <v>1</v>
      </c>
    </row>
    <row r="694" spans="1:11" x14ac:dyDescent="0.25">
      <c r="A694" s="9" t="s">
        <v>52</v>
      </c>
      <c r="B694" s="9" t="s">
        <v>23</v>
      </c>
      <c r="C694" s="10">
        <v>46006</v>
      </c>
      <c r="D694" s="10">
        <v>46006</v>
      </c>
      <c r="E694" s="9" t="s">
        <v>1066</v>
      </c>
      <c r="F694" s="9" t="s">
        <v>32</v>
      </c>
      <c r="G694" s="9" t="s">
        <v>247</v>
      </c>
      <c r="H694" s="11">
        <v>5709.42</v>
      </c>
      <c r="I694" s="11">
        <v>5709.42</v>
      </c>
      <c r="J694" s="11">
        <v>0</v>
      </c>
      <c r="K694">
        <v>1</v>
      </c>
    </row>
    <row r="695" spans="1:11" x14ac:dyDescent="0.25">
      <c r="A695" s="9" t="s">
        <v>52</v>
      </c>
      <c r="B695" s="9" t="s">
        <v>23</v>
      </c>
      <c r="C695" s="10">
        <v>46006</v>
      </c>
      <c r="D695" s="10">
        <v>46006</v>
      </c>
      <c r="E695" s="9" t="s">
        <v>1067</v>
      </c>
      <c r="F695" s="9" t="s">
        <v>32</v>
      </c>
      <c r="G695" s="9" t="s">
        <v>60</v>
      </c>
      <c r="H695" s="11">
        <v>7625.75</v>
      </c>
      <c r="I695" s="11">
        <v>7625.75</v>
      </c>
      <c r="J695" s="11">
        <v>0</v>
      </c>
      <c r="K695">
        <v>1</v>
      </c>
    </row>
    <row r="696" spans="1:11" x14ac:dyDescent="0.25">
      <c r="A696" s="9" t="s">
        <v>52</v>
      </c>
      <c r="B696" s="9" t="s">
        <v>23</v>
      </c>
      <c r="C696" s="10">
        <v>46006</v>
      </c>
      <c r="D696" s="10">
        <v>46006</v>
      </c>
      <c r="E696" s="9" t="s">
        <v>1068</v>
      </c>
      <c r="F696" s="9" t="s">
        <v>32</v>
      </c>
      <c r="G696" s="9" t="s">
        <v>1069</v>
      </c>
      <c r="H696" s="11">
        <v>1679.21</v>
      </c>
      <c r="I696" s="11">
        <v>1679.21</v>
      </c>
      <c r="J696" s="11">
        <v>0</v>
      </c>
      <c r="K696">
        <v>1</v>
      </c>
    </row>
    <row r="697" spans="1:11" x14ac:dyDescent="0.25">
      <c r="A697" s="9" t="s">
        <v>52</v>
      </c>
      <c r="B697" s="9" t="s">
        <v>23</v>
      </c>
      <c r="C697" s="10">
        <v>46006</v>
      </c>
      <c r="D697" s="10">
        <v>46006</v>
      </c>
      <c r="E697" s="9" t="s">
        <v>1070</v>
      </c>
      <c r="F697" s="9" t="s">
        <v>32</v>
      </c>
      <c r="G697" s="9" t="s">
        <v>488</v>
      </c>
      <c r="H697" s="11">
        <v>686.53</v>
      </c>
      <c r="I697" s="11">
        <v>686.53</v>
      </c>
      <c r="J697" s="11">
        <v>0</v>
      </c>
      <c r="K697">
        <v>1</v>
      </c>
    </row>
    <row r="698" spans="1:11" x14ac:dyDescent="0.25">
      <c r="A698" s="9" t="s">
        <v>52</v>
      </c>
      <c r="B698" s="9" t="s">
        <v>23</v>
      </c>
      <c r="C698" s="10">
        <v>46006</v>
      </c>
      <c r="D698" s="10">
        <v>46006</v>
      </c>
      <c r="E698" s="9" t="s">
        <v>1071</v>
      </c>
      <c r="F698" s="9" t="s">
        <v>32</v>
      </c>
      <c r="G698" s="9" t="s">
        <v>1072</v>
      </c>
      <c r="H698" s="11">
        <v>714.28</v>
      </c>
      <c r="I698" s="11">
        <v>714.28</v>
      </c>
      <c r="J698" s="11">
        <v>0</v>
      </c>
      <c r="K698">
        <v>1</v>
      </c>
    </row>
    <row r="699" spans="1:11" x14ac:dyDescent="0.25">
      <c r="A699" s="9" t="s">
        <v>52</v>
      </c>
      <c r="B699" s="9" t="s">
        <v>23</v>
      </c>
      <c r="C699" s="10">
        <v>46006</v>
      </c>
      <c r="D699" s="10">
        <v>46006</v>
      </c>
      <c r="E699" s="9" t="s">
        <v>1073</v>
      </c>
      <c r="F699" s="9" t="s">
        <v>32</v>
      </c>
      <c r="G699" s="9" t="s">
        <v>479</v>
      </c>
      <c r="H699" s="11">
        <v>744.59</v>
      </c>
      <c r="I699" s="11">
        <v>744.59</v>
      </c>
      <c r="J699" s="11">
        <v>0</v>
      </c>
      <c r="K699">
        <v>1</v>
      </c>
    </row>
    <row r="700" spans="1:11" x14ac:dyDescent="0.25">
      <c r="A700" s="9" t="s">
        <v>52</v>
      </c>
      <c r="B700" s="9" t="s">
        <v>23</v>
      </c>
      <c r="C700" s="10">
        <v>46006</v>
      </c>
      <c r="D700" s="10">
        <v>46006</v>
      </c>
      <c r="E700" s="9" t="s">
        <v>1074</v>
      </c>
      <c r="F700" s="9" t="s">
        <v>32</v>
      </c>
      <c r="G700" s="9" t="s">
        <v>1075</v>
      </c>
      <c r="H700" s="11">
        <v>828.83</v>
      </c>
      <c r="I700" s="11">
        <v>828.83</v>
      </c>
      <c r="J700" s="11">
        <v>0</v>
      </c>
      <c r="K700">
        <v>1</v>
      </c>
    </row>
    <row r="701" spans="1:11" x14ac:dyDescent="0.25">
      <c r="A701" s="9" t="s">
        <v>52</v>
      </c>
      <c r="B701" s="9" t="s">
        <v>23</v>
      </c>
      <c r="C701" s="10">
        <v>46006</v>
      </c>
      <c r="D701" s="10">
        <v>46006</v>
      </c>
      <c r="E701" s="9" t="s">
        <v>1076</v>
      </c>
      <c r="F701" s="9" t="s">
        <v>32</v>
      </c>
      <c r="G701" s="9" t="s">
        <v>741</v>
      </c>
      <c r="H701" s="11">
        <v>922.13</v>
      </c>
      <c r="I701" s="11">
        <v>922.13</v>
      </c>
      <c r="J701" s="11">
        <v>0</v>
      </c>
      <c r="K701">
        <v>1</v>
      </c>
    </row>
    <row r="702" spans="1:11" x14ac:dyDescent="0.25">
      <c r="A702" s="9" t="s">
        <v>52</v>
      </c>
      <c r="B702" s="9" t="s">
        <v>23</v>
      </c>
      <c r="C702" s="10">
        <v>46006</v>
      </c>
      <c r="D702" s="10">
        <v>46006</v>
      </c>
      <c r="E702" s="9" t="s">
        <v>1077</v>
      </c>
      <c r="F702" s="9" t="s">
        <v>32</v>
      </c>
      <c r="G702" s="9" t="s">
        <v>82</v>
      </c>
      <c r="H702" s="11">
        <v>997.98</v>
      </c>
      <c r="I702" s="11">
        <v>997.98</v>
      </c>
      <c r="J702" s="11">
        <v>0</v>
      </c>
      <c r="K702">
        <v>1</v>
      </c>
    </row>
    <row r="703" spans="1:11" x14ac:dyDescent="0.25">
      <c r="A703" s="9" t="s">
        <v>52</v>
      </c>
      <c r="B703" s="9" t="s">
        <v>23</v>
      </c>
      <c r="C703" s="10">
        <v>46006</v>
      </c>
      <c r="D703" s="10">
        <v>46006</v>
      </c>
      <c r="E703" s="9" t="s">
        <v>1078</v>
      </c>
      <c r="F703" s="9" t="s">
        <v>32</v>
      </c>
      <c r="G703" s="9" t="s">
        <v>753</v>
      </c>
      <c r="H703" s="11">
        <v>1056.83</v>
      </c>
      <c r="I703" s="11">
        <v>1056.83</v>
      </c>
      <c r="J703" s="11">
        <v>0</v>
      </c>
      <c r="K703">
        <v>1</v>
      </c>
    </row>
    <row r="704" spans="1:11" x14ac:dyDescent="0.25">
      <c r="A704" s="9" t="s">
        <v>52</v>
      </c>
      <c r="B704" s="9" t="s">
        <v>23</v>
      </c>
      <c r="C704" s="10">
        <v>46006</v>
      </c>
      <c r="D704" s="10">
        <v>46006</v>
      </c>
      <c r="E704" s="9" t="s">
        <v>1079</v>
      </c>
      <c r="F704" s="9" t="s">
        <v>32</v>
      </c>
      <c r="G704" s="9" t="s">
        <v>194</v>
      </c>
      <c r="H704" s="11">
        <v>1113</v>
      </c>
      <c r="I704" s="11">
        <v>1113</v>
      </c>
      <c r="J704" s="11">
        <v>0</v>
      </c>
      <c r="K704">
        <v>1</v>
      </c>
    </row>
    <row r="705" spans="1:11" x14ac:dyDescent="0.25">
      <c r="A705" s="9" t="s">
        <v>52</v>
      </c>
      <c r="B705" s="9" t="s">
        <v>23</v>
      </c>
      <c r="C705" s="10">
        <v>46006</v>
      </c>
      <c r="D705" s="10">
        <v>46006</v>
      </c>
      <c r="E705" s="9" t="s">
        <v>1080</v>
      </c>
      <c r="F705" s="9" t="s">
        <v>32</v>
      </c>
      <c r="G705" s="9" t="s">
        <v>80</v>
      </c>
      <c r="H705" s="11">
        <v>1151.82</v>
      </c>
      <c r="I705" s="11">
        <v>1151.82</v>
      </c>
      <c r="J705" s="11">
        <v>0</v>
      </c>
      <c r="K705">
        <v>1</v>
      </c>
    </row>
    <row r="706" spans="1:11" x14ac:dyDescent="0.25">
      <c r="A706" s="9" t="s">
        <v>52</v>
      </c>
      <c r="B706" s="9" t="s">
        <v>23</v>
      </c>
      <c r="C706" s="10">
        <v>46006</v>
      </c>
      <c r="D706" s="10">
        <v>46006</v>
      </c>
      <c r="E706" s="9" t="s">
        <v>1081</v>
      </c>
      <c r="F706" s="9" t="s">
        <v>32</v>
      </c>
      <c r="G706" s="9" t="s">
        <v>1082</v>
      </c>
      <c r="H706" s="11">
        <v>1229.42</v>
      </c>
      <c r="I706" s="11">
        <v>1229.42</v>
      </c>
      <c r="J706" s="11">
        <v>0</v>
      </c>
      <c r="K706">
        <v>1</v>
      </c>
    </row>
    <row r="707" spans="1:11" x14ac:dyDescent="0.25">
      <c r="A707" s="9" t="s">
        <v>52</v>
      </c>
      <c r="B707" s="9" t="s">
        <v>23</v>
      </c>
      <c r="C707" s="10">
        <v>46006</v>
      </c>
      <c r="D707" s="10">
        <v>46006</v>
      </c>
      <c r="E707" s="9" t="s">
        <v>1083</v>
      </c>
      <c r="F707" s="9" t="s">
        <v>32</v>
      </c>
      <c r="G707" s="9" t="s">
        <v>184</v>
      </c>
      <c r="H707" s="11">
        <v>1269.05</v>
      </c>
      <c r="I707" s="11">
        <v>1269.05</v>
      </c>
      <c r="J707" s="11">
        <v>0</v>
      </c>
      <c r="K707">
        <v>1</v>
      </c>
    </row>
    <row r="708" spans="1:11" x14ac:dyDescent="0.25">
      <c r="A708" s="9" t="s">
        <v>52</v>
      </c>
      <c r="B708" s="9" t="s">
        <v>23</v>
      </c>
      <c r="C708" s="10">
        <v>46006</v>
      </c>
      <c r="D708" s="10">
        <v>46006</v>
      </c>
      <c r="E708" s="9" t="s">
        <v>1084</v>
      </c>
      <c r="F708" s="9" t="s">
        <v>32</v>
      </c>
      <c r="G708" s="9" t="s">
        <v>479</v>
      </c>
      <c r="H708" s="11">
        <v>1284.8699999999999</v>
      </c>
      <c r="I708" s="11">
        <v>1284.8699999999999</v>
      </c>
      <c r="J708" s="11">
        <v>0</v>
      </c>
      <c r="K708">
        <v>1</v>
      </c>
    </row>
    <row r="709" spans="1:11" x14ac:dyDescent="0.25">
      <c r="A709" s="9" t="s">
        <v>52</v>
      </c>
      <c r="B709" s="9" t="s">
        <v>23</v>
      </c>
      <c r="C709" s="10">
        <v>46006</v>
      </c>
      <c r="D709" s="10">
        <v>46006</v>
      </c>
      <c r="E709" s="9" t="s">
        <v>1085</v>
      </c>
      <c r="F709" s="9" t="s">
        <v>32</v>
      </c>
      <c r="G709" s="9" t="s">
        <v>709</v>
      </c>
      <c r="H709" s="11">
        <v>1322.11</v>
      </c>
      <c r="I709" s="11">
        <v>1322.11</v>
      </c>
      <c r="J709" s="11">
        <v>0</v>
      </c>
      <c r="K709">
        <v>1</v>
      </c>
    </row>
    <row r="710" spans="1:11" x14ac:dyDescent="0.25">
      <c r="A710" s="9" t="s">
        <v>52</v>
      </c>
      <c r="B710" s="9" t="s">
        <v>23</v>
      </c>
      <c r="C710" s="10">
        <v>46006</v>
      </c>
      <c r="D710" s="10">
        <v>46006</v>
      </c>
      <c r="E710" s="9" t="s">
        <v>1086</v>
      </c>
      <c r="F710" s="9" t="s">
        <v>32</v>
      </c>
      <c r="G710" s="9" t="s">
        <v>78</v>
      </c>
      <c r="H710" s="11">
        <v>1322.9</v>
      </c>
      <c r="I710" s="11">
        <v>1322.9</v>
      </c>
      <c r="J710" s="11">
        <v>0</v>
      </c>
      <c r="K710">
        <v>1</v>
      </c>
    </row>
    <row r="711" spans="1:11" x14ac:dyDescent="0.25">
      <c r="A711" s="9" t="s">
        <v>52</v>
      </c>
      <c r="B711" s="9" t="s">
        <v>23</v>
      </c>
      <c r="C711" s="10">
        <v>46006</v>
      </c>
      <c r="D711" s="10">
        <v>46006</v>
      </c>
      <c r="E711" s="9" t="s">
        <v>1087</v>
      </c>
      <c r="F711" s="9" t="s">
        <v>32</v>
      </c>
      <c r="G711" s="9" t="s">
        <v>62</v>
      </c>
      <c r="H711" s="11">
        <v>1446.19</v>
      </c>
      <c r="I711" s="11">
        <v>1446.19</v>
      </c>
      <c r="J711" s="11">
        <v>0</v>
      </c>
      <c r="K711">
        <v>1</v>
      </c>
    </row>
    <row r="712" spans="1:11" x14ac:dyDescent="0.25">
      <c r="A712" s="9" t="s">
        <v>52</v>
      </c>
      <c r="B712" s="9" t="s">
        <v>23</v>
      </c>
      <c r="C712" s="10">
        <v>46006</v>
      </c>
      <c r="D712" s="10">
        <v>46006</v>
      </c>
      <c r="E712" s="9" t="s">
        <v>1088</v>
      </c>
      <c r="F712" s="9" t="s">
        <v>32</v>
      </c>
      <c r="G712" s="9" t="s">
        <v>784</v>
      </c>
      <c r="H712" s="11">
        <v>599.04</v>
      </c>
      <c r="I712" s="11">
        <v>599.04</v>
      </c>
      <c r="J712" s="11">
        <v>0</v>
      </c>
      <c r="K712">
        <v>1</v>
      </c>
    </row>
    <row r="713" spans="1:11" x14ac:dyDescent="0.25">
      <c r="A713" s="9" t="s">
        <v>52</v>
      </c>
      <c r="B713" s="9" t="s">
        <v>23</v>
      </c>
      <c r="C713" s="10">
        <v>46006</v>
      </c>
      <c r="D713" s="10">
        <v>46006</v>
      </c>
      <c r="E713" s="9" t="s">
        <v>1089</v>
      </c>
      <c r="F713" s="9" t="s">
        <v>32</v>
      </c>
      <c r="G713" s="9" t="s">
        <v>945</v>
      </c>
      <c r="H713" s="11">
        <v>1513.38</v>
      </c>
      <c r="I713" s="11">
        <v>1513.38</v>
      </c>
      <c r="J713" s="11">
        <v>0</v>
      </c>
      <c r="K713">
        <v>1</v>
      </c>
    </row>
    <row r="714" spans="1:11" x14ac:dyDescent="0.25">
      <c r="A714" s="9" t="s">
        <v>52</v>
      </c>
      <c r="B714" s="9" t="s">
        <v>23</v>
      </c>
      <c r="C714" s="10">
        <v>46006</v>
      </c>
      <c r="D714" s="10">
        <v>46006</v>
      </c>
      <c r="E714" s="9" t="s">
        <v>1090</v>
      </c>
      <c r="F714" s="9" t="s">
        <v>32</v>
      </c>
      <c r="G714" s="9" t="s">
        <v>1091</v>
      </c>
      <c r="H714" s="11">
        <v>358.11</v>
      </c>
      <c r="I714" s="11">
        <v>358.11</v>
      </c>
      <c r="J714" s="11">
        <v>0</v>
      </c>
      <c r="K714">
        <v>1</v>
      </c>
    </row>
    <row r="715" spans="1:11" x14ac:dyDescent="0.25">
      <c r="A715" s="9" t="s">
        <v>52</v>
      </c>
      <c r="B715" s="9" t="s">
        <v>23</v>
      </c>
      <c r="C715" s="10">
        <v>46006</v>
      </c>
      <c r="D715" s="10">
        <v>46006</v>
      </c>
      <c r="E715" s="9" t="s">
        <v>1092</v>
      </c>
      <c r="F715" s="9" t="s">
        <v>141</v>
      </c>
      <c r="G715" s="9" t="s">
        <v>1093</v>
      </c>
      <c r="H715" s="11">
        <v>-721.05</v>
      </c>
      <c r="I715" s="11">
        <v>-721.05</v>
      </c>
      <c r="J715" s="11">
        <v>0</v>
      </c>
      <c r="K715">
        <v>1</v>
      </c>
    </row>
    <row r="716" spans="1:11" x14ac:dyDescent="0.25">
      <c r="A716" s="9" t="s">
        <v>52</v>
      </c>
      <c r="B716" s="9" t="s">
        <v>23</v>
      </c>
      <c r="C716" s="10">
        <v>46006</v>
      </c>
      <c r="D716" s="10">
        <v>46006</v>
      </c>
      <c r="E716" s="9" t="s">
        <v>1094</v>
      </c>
      <c r="F716" s="9" t="s">
        <v>141</v>
      </c>
      <c r="G716" s="9" t="s">
        <v>1095</v>
      </c>
      <c r="H716" s="11">
        <v>-68263.63</v>
      </c>
      <c r="I716" s="11">
        <v>-68263.63</v>
      </c>
      <c r="J716" s="11">
        <v>0</v>
      </c>
      <c r="K716">
        <v>1</v>
      </c>
    </row>
    <row r="717" spans="1:11" x14ac:dyDescent="0.25">
      <c r="A717" s="9" t="s">
        <v>52</v>
      </c>
      <c r="B717" s="9" t="s">
        <v>23</v>
      </c>
      <c r="C717" s="10">
        <v>46006</v>
      </c>
      <c r="D717" s="10">
        <v>46006</v>
      </c>
      <c r="E717" s="9" t="s">
        <v>1096</v>
      </c>
      <c r="F717" s="9" t="s">
        <v>141</v>
      </c>
      <c r="G717" s="9" t="s">
        <v>1097</v>
      </c>
      <c r="H717" s="11">
        <v>-38236.5</v>
      </c>
      <c r="I717" s="11">
        <v>-38236.5</v>
      </c>
      <c r="J717" s="11">
        <v>0</v>
      </c>
      <c r="K717">
        <v>1</v>
      </c>
    </row>
    <row r="718" spans="1:11" x14ac:dyDescent="0.25">
      <c r="A718" s="9" t="s">
        <v>52</v>
      </c>
      <c r="B718" s="9" t="s">
        <v>23</v>
      </c>
      <c r="C718" s="10">
        <v>46006</v>
      </c>
      <c r="D718" s="10">
        <v>46006</v>
      </c>
      <c r="E718" s="9" t="s">
        <v>1098</v>
      </c>
      <c r="F718" s="9" t="s">
        <v>141</v>
      </c>
      <c r="G718" s="9" t="s">
        <v>1099</v>
      </c>
      <c r="H718" s="11">
        <v>-28147.63</v>
      </c>
      <c r="I718" s="11">
        <v>-28147.63</v>
      </c>
      <c r="J718" s="11">
        <v>0</v>
      </c>
      <c r="K718">
        <v>1</v>
      </c>
    </row>
    <row r="719" spans="1:11" x14ac:dyDescent="0.25">
      <c r="A719" s="9" t="s">
        <v>52</v>
      </c>
      <c r="B719" s="9" t="s">
        <v>23</v>
      </c>
      <c r="C719" s="10">
        <v>46006</v>
      </c>
      <c r="D719" s="10">
        <v>46006</v>
      </c>
      <c r="E719" s="9" t="s">
        <v>1100</v>
      </c>
      <c r="F719" s="9" t="s">
        <v>141</v>
      </c>
      <c r="G719" s="9" t="s">
        <v>1101</v>
      </c>
      <c r="H719" s="11">
        <v>-21154.44</v>
      </c>
      <c r="I719" s="11">
        <v>-21154.44</v>
      </c>
      <c r="J719" s="11">
        <v>0</v>
      </c>
      <c r="K719">
        <v>1</v>
      </c>
    </row>
    <row r="720" spans="1:11" x14ac:dyDescent="0.25">
      <c r="A720" s="9" t="s">
        <v>52</v>
      </c>
      <c r="B720" s="9" t="s">
        <v>23</v>
      </c>
      <c r="C720" s="10">
        <v>46006</v>
      </c>
      <c r="D720" s="10">
        <v>46006</v>
      </c>
      <c r="E720" s="9" t="s">
        <v>1102</v>
      </c>
      <c r="F720" s="9" t="s">
        <v>141</v>
      </c>
      <c r="G720" s="9" t="s">
        <v>1103</v>
      </c>
      <c r="H720" s="11">
        <v>-15878.85</v>
      </c>
      <c r="I720" s="11">
        <v>-15878.85</v>
      </c>
      <c r="J720" s="11">
        <v>0</v>
      </c>
      <c r="K720">
        <v>1</v>
      </c>
    </row>
    <row r="721" spans="1:11" x14ac:dyDescent="0.25">
      <c r="A721" s="9" t="s">
        <v>52</v>
      </c>
      <c r="B721" s="9" t="s">
        <v>23</v>
      </c>
      <c r="C721" s="10">
        <v>46006</v>
      </c>
      <c r="D721" s="10">
        <v>46006</v>
      </c>
      <c r="E721" s="9" t="s">
        <v>1104</v>
      </c>
      <c r="F721" s="9" t="s">
        <v>141</v>
      </c>
      <c r="G721" s="9" t="s">
        <v>1105</v>
      </c>
      <c r="H721" s="11">
        <v>-14092.02</v>
      </c>
      <c r="I721" s="11">
        <v>-14092.02</v>
      </c>
      <c r="J721" s="11">
        <v>0</v>
      </c>
      <c r="K721">
        <v>1</v>
      </c>
    </row>
    <row r="722" spans="1:11" x14ac:dyDescent="0.25">
      <c r="A722" s="9" t="s">
        <v>52</v>
      </c>
      <c r="B722" s="9" t="s">
        <v>23</v>
      </c>
      <c r="C722" s="10">
        <v>46006</v>
      </c>
      <c r="D722" s="10">
        <v>46006</v>
      </c>
      <c r="E722" s="9" t="s">
        <v>1106</v>
      </c>
      <c r="F722" s="9" t="s">
        <v>141</v>
      </c>
      <c r="G722" s="9" t="s">
        <v>1107</v>
      </c>
      <c r="H722" s="11">
        <v>-12197.64</v>
      </c>
      <c r="I722" s="11">
        <v>-12197.64</v>
      </c>
      <c r="J722" s="11">
        <v>0</v>
      </c>
      <c r="K722">
        <v>1</v>
      </c>
    </row>
    <row r="723" spans="1:11" x14ac:dyDescent="0.25">
      <c r="A723" s="9" t="s">
        <v>52</v>
      </c>
      <c r="B723" s="9" t="s">
        <v>23</v>
      </c>
      <c r="C723" s="10">
        <v>46006</v>
      </c>
      <c r="D723" s="10">
        <v>46006</v>
      </c>
      <c r="E723" s="9" t="s">
        <v>1108</v>
      </c>
      <c r="F723" s="9" t="s">
        <v>141</v>
      </c>
      <c r="G723" s="9" t="s">
        <v>1109</v>
      </c>
      <c r="H723" s="11">
        <v>-9137.56</v>
      </c>
      <c r="I723" s="11">
        <v>-9137.56</v>
      </c>
      <c r="J723" s="11">
        <v>0</v>
      </c>
      <c r="K723">
        <v>1</v>
      </c>
    </row>
    <row r="724" spans="1:11" x14ac:dyDescent="0.25">
      <c r="A724" s="9" t="s">
        <v>52</v>
      </c>
      <c r="B724" s="9" t="s">
        <v>23</v>
      </c>
      <c r="C724" s="10">
        <v>46006</v>
      </c>
      <c r="D724" s="10">
        <v>46006</v>
      </c>
      <c r="E724" s="9" t="s">
        <v>1110</v>
      </c>
      <c r="F724" s="9" t="s">
        <v>141</v>
      </c>
      <c r="G724" s="9" t="s">
        <v>1111</v>
      </c>
      <c r="H724" s="11">
        <v>-6950.9</v>
      </c>
      <c r="I724" s="11">
        <v>-6950.9</v>
      </c>
      <c r="J724" s="11">
        <v>0</v>
      </c>
      <c r="K724">
        <v>1</v>
      </c>
    </row>
    <row r="725" spans="1:11" x14ac:dyDescent="0.25">
      <c r="A725" s="9" t="s">
        <v>52</v>
      </c>
      <c r="B725" s="9" t="s">
        <v>23</v>
      </c>
      <c r="C725" s="10">
        <v>46006</v>
      </c>
      <c r="D725" s="10">
        <v>46006</v>
      </c>
      <c r="E725" s="9" t="s">
        <v>1112</v>
      </c>
      <c r="F725" s="9" t="s">
        <v>141</v>
      </c>
      <c r="G725" s="9" t="s">
        <v>1113</v>
      </c>
      <c r="H725" s="11">
        <v>-5470</v>
      </c>
      <c r="I725" s="11">
        <v>-5470</v>
      </c>
      <c r="J725" s="11">
        <v>0</v>
      </c>
      <c r="K725">
        <v>1</v>
      </c>
    </row>
    <row r="726" spans="1:11" x14ac:dyDescent="0.25">
      <c r="A726" s="9" t="s">
        <v>52</v>
      </c>
      <c r="B726" s="9" t="s">
        <v>23</v>
      </c>
      <c r="C726" s="10">
        <v>46006</v>
      </c>
      <c r="D726" s="10">
        <v>46006</v>
      </c>
      <c r="E726" s="9" t="s">
        <v>1114</v>
      </c>
      <c r="F726" s="9" t="s">
        <v>141</v>
      </c>
      <c r="G726" s="9" t="s">
        <v>1115</v>
      </c>
      <c r="H726" s="11">
        <v>-4264.7299999999996</v>
      </c>
      <c r="I726" s="11">
        <v>-4264.7299999999996</v>
      </c>
      <c r="J726" s="11">
        <v>0</v>
      </c>
      <c r="K726">
        <v>1</v>
      </c>
    </row>
    <row r="727" spans="1:11" x14ac:dyDescent="0.25">
      <c r="A727" s="9" t="s">
        <v>52</v>
      </c>
      <c r="B727" s="9" t="s">
        <v>23</v>
      </c>
      <c r="C727" s="10">
        <v>46006</v>
      </c>
      <c r="D727" s="10">
        <v>46006</v>
      </c>
      <c r="E727" s="9" t="s">
        <v>1116</v>
      </c>
      <c r="F727" s="9" t="s">
        <v>141</v>
      </c>
      <c r="G727" s="9" t="s">
        <v>1117</v>
      </c>
      <c r="H727" s="11">
        <v>-2288.62</v>
      </c>
      <c r="I727" s="11">
        <v>-2288.62</v>
      </c>
      <c r="J727" s="11">
        <v>0</v>
      </c>
      <c r="K727">
        <v>1</v>
      </c>
    </row>
    <row r="728" spans="1:11" x14ac:dyDescent="0.25">
      <c r="A728" s="9" t="s">
        <v>52</v>
      </c>
      <c r="B728" s="9" t="s">
        <v>23</v>
      </c>
      <c r="C728" s="10">
        <v>46006</v>
      </c>
      <c r="D728" s="10">
        <v>46006</v>
      </c>
      <c r="E728" s="9" t="s">
        <v>1118</v>
      </c>
      <c r="F728" s="9" t="s">
        <v>141</v>
      </c>
      <c r="G728" s="9" t="s">
        <v>1119</v>
      </c>
      <c r="H728" s="11">
        <v>-1515.25</v>
      </c>
      <c r="I728" s="11">
        <v>-1515.25</v>
      </c>
      <c r="J728" s="11">
        <v>0</v>
      </c>
      <c r="K728">
        <v>1</v>
      </c>
    </row>
    <row r="729" spans="1:11" x14ac:dyDescent="0.25">
      <c r="A729" s="9" t="s">
        <v>52</v>
      </c>
      <c r="B729" s="9" t="s">
        <v>23</v>
      </c>
      <c r="C729" s="10">
        <v>46006</v>
      </c>
      <c r="D729" s="10">
        <v>46006</v>
      </c>
      <c r="E729" s="9" t="s">
        <v>1120</v>
      </c>
      <c r="F729" s="9" t="s">
        <v>141</v>
      </c>
      <c r="G729" s="9" t="s">
        <v>1121</v>
      </c>
      <c r="H729" s="11">
        <v>-1345.01</v>
      </c>
      <c r="I729" s="11">
        <v>-1345.01</v>
      </c>
      <c r="J729" s="11">
        <v>0</v>
      </c>
      <c r="K729">
        <v>1</v>
      </c>
    </row>
    <row r="730" spans="1:11" x14ac:dyDescent="0.25">
      <c r="A730" s="9" t="s">
        <v>52</v>
      </c>
      <c r="B730" s="9" t="s">
        <v>23</v>
      </c>
      <c r="C730" s="10">
        <v>46006</v>
      </c>
      <c r="D730" s="10">
        <v>46006</v>
      </c>
      <c r="E730" s="9" t="s">
        <v>1122</v>
      </c>
      <c r="F730" s="9" t="s">
        <v>141</v>
      </c>
      <c r="G730" s="9" t="s">
        <v>1123</v>
      </c>
      <c r="H730" s="11">
        <v>-783.93</v>
      </c>
      <c r="I730" s="11">
        <v>-783.93</v>
      </c>
      <c r="J730" s="11">
        <v>0</v>
      </c>
      <c r="K730">
        <v>1</v>
      </c>
    </row>
    <row r="731" spans="1:11" x14ac:dyDescent="0.25">
      <c r="A731" s="9" t="s">
        <v>52</v>
      </c>
      <c r="B731" s="9" t="s">
        <v>23</v>
      </c>
      <c r="C731" s="10">
        <v>46006</v>
      </c>
      <c r="D731" s="10">
        <v>46006</v>
      </c>
      <c r="E731" s="9" t="s">
        <v>1124</v>
      </c>
      <c r="F731" s="9" t="s">
        <v>32</v>
      </c>
      <c r="G731" s="9" t="s">
        <v>218</v>
      </c>
      <c r="H731" s="11">
        <v>107.72</v>
      </c>
      <c r="I731" s="11">
        <v>107.72</v>
      </c>
      <c r="J731" s="11">
        <v>0</v>
      </c>
      <c r="K731">
        <v>1</v>
      </c>
    </row>
    <row r="732" spans="1:11" x14ac:dyDescent="0.25">
      <c r="A732" s="9" t="s">
        <v>52</v>
      </c>
      <c r="B732" s="9" t="s">
        <v>23</v>
      </c>
      <c r="C732" s="10">
        <v>46006</v>
      </c>
      <c r="D732" s="10">
        <v>46006</v>
      </c>
      <c r="E732" s="9" t="s">
        <v>1125</v>
      </c>
      <c r="F732" s="9" t="s">
        <v>32</v>
      </c>
      <c r="G732" s="9" t="s">
        <v>359</v>
      </c>
      <c r="H732" s="11">
        <v>1516.49</v>
      </c>
      <c r="I732" s="11">
        <v>1516.49</v>
      </c>
      <c r="J732" s="11">
        <v>0</v>
      </c>
      <c r="K732">
        <v>1</v>
      </c>
    </row>
    <row r="733" spans="1:11" x14ac:dyDescent="0.25">
      <c r="A733" s="9" t="s">
        <v>52</v>
      </c>
      <c r="B733" s="9" t="s">
        <v>23</v>
      </c>
      <c r="C733" s="10">
        <v>46006</v>
      </c>
      <c r="D733" s="10">
        <v>46006</v>
      </c>
      <c r="E733" s="9" t="s">
        <v>1126</v>
      </c>
      <c r="F733" s="9" t="s">
        <v>32</v>
      </c>
      <c r="G733" s="9" t="s">
        <v>70</v>
      </c>
      <c r="H733" s="11">
        <v>1529.96</v>
      </c>
      <c r="I733" s="11">
        <v>1529.96</v>
      </c>
      <c r="J733" s="11">
        <v>0</v>
      </c>
      <c r="K733">
        <v>1</v>
      </c>
    </row>
    <row r="734" spans="1:11" x14ac:dyDescent="0.25">
      <c r="A734" s="9" t="s">
        <v>52</v>
      </c>
      <c r="B734" s="9" t="s">
        <v>23</v>
      </c>
      <c r="C734" s="10">
        <v>46006</v>
      </c>
      <c r="D734" s="10">
        <v>46006</v>
      </c>
      <c r="E734" s="9" t="s">
        <v>1127</v>
      </c>
      <c r="F734" s="9" t="s">
        <v>32</v>
      </c>
      <c r="G734" s="9" t="s">
        <v>942</v>
      </c>
      <c r="H734" s="11">
        <v>1686.5</v>
      </c>
      <c r="I734" s="11">
        <v>1686.5</v>
      </c>
      <c r="J734" s="11">
        <v>0</v>
      </c>
      <c r="K734">
        <v>1</v>
      </c>
    </row>
    <row r="735" spans="1:11" x14ac:dyDescent="0.25">
      <c r="A735" s="9" t="s">
        <v>52</v>
      </c>
      <c r="B735" s="9" t="s">
        <v>23</v>
      </c>
      <c r="C735" s="10">
        <v>46006</v>
      </c>
      <c r="D735" s="10">
        <v>46006</v>
      </c>
      <c r="E735" s="9" t="s">
        <v>1128</v>
      </c>
      <c r="F735" s="9" t="s">
        <v>32</v>
      </c>
      <c r="G735" s="9" t="s">
        <v>402</v>
      </c>
      <c r="H735" s="11">
        <v>4643.7</v>
      </c>
      <c r="I735" s="11">
        <v>4643.7</v>
      </c>
      <c r="J735" s="11">
        <v>0</v>
      </c>
      <c r="K735">
        <v>1</v>
      </c>
    </row>
    <row r="736" spans="1:11" x14ac:dyDescent="0.25">
      <c r="A736" s="9" t="s">
        <v>52</v>
      </c>
      <c r="B736" s="9" t="s">
        <v>23</v>
      </c>
      <c r="C736" s="10">
        <v>46006</v>
      </c>
      <c r="D736" s="10">
        <v>46006</v>
      </c>
      <c r="E736" s="9" t="s">
        <v>1129</v>
      </c>
      <c r="F736" s="9" t="s">
        <v>32</v>
      </c>
      <c r="G736" s="9" t="s">
        <v>237</v>
      </c>
      <c r="H736" s="11">
        <v>711.63</v>
      </c>
      <c r="I736" s="11">
        <v>711.63</v>
      </c>
      <c r="J736" s="11">
        <v>0</v>
      </c>
      <c r="K736">
        <v>1</v>
      </c>
    </row>
    <row r="737" spans="1:11" x14ac:dyDescent="0.25">
      <c r="A737" s="9" t="s">
        <v>52</v>
      </c>
      <c r="B737" s="9" t="s">
        <v>23</v>
      </c>
      <c r="C737" s="10">
        <v>46006</v>
      </c>
      <c r="D737" s="10">
        <v>46006</v>
      </c>
      <c r="E737" s="9" t="s">
        <v>1130</v>
      </c>
      <c r="F737" s="9" t="s">
        <v>32</v>
      </c>
      <c r="G737" s="9" t="s">
        <v>428</v>
      </c>
      <c r="H737" s="11">
        <v>4839.79</v>
      </c>
      <c r="I737" s="11">
        <v>4839.79</v>
      </c>
      <c r="J737" s="11">
        <v>0</v>
      </c>
      <c r="K737">
        <v>1</v>
      </c>
    </row>
    <row r="738" spans="1:11" x14ac:dyDescent="0.25">
      <c r="A738" s="9" t="s">
        <v>52</v>
      </c>
      <c r="B738" s="9" t="s">
        <v>23</v>
      </c>
      <c r="C738" s="10">
        <v>46006</v>
      </c>
      <c r="D738" s="10">
        <v>46006</v>
      </c>
      <c r="E738" s="9" t="s">
        <v>1131</v>
      </c>
      <c r="F738" s="9" t="s">
        <v>32</v>
      </c>
      <c r="G738" s="9" t="s">
        <v>1132</v>
      </c>
      <c r="H738" s="11">
        <v>5128.68</v>
      </c>
      <c r="I738" s="11">
        <v>5128.68</v>
      </c>
      <c r="J738" s="11">
        <v>0</v>
      </c>
      <c r="K738">
        <v>1</v>
      </c>
    </row>
    <row r="739" spans="1:11" x14ac:dyDescent="0.25">
      <c r="A739" s="9" t="s">
        <v>52</v>
      </c>
      <c r="B739" s="9" t="s">
        <v>23</v>
      </c>
      <c r="C739" s="10">
        <v>46006</v>
      </c>
      <c r="D739" s="10">
        <v>46006</v>
      </c>
      <c r="E739" s="9" t="s">
        <v>1133</v>
      </c>
      <c r="F739" s="9" t="s">
        <v>32</v>
      </c>
      <c r="G739" s="9" t="s">
        <v>655</v>
      </c>
      <c r="H739" s="11">
        <v>5786.93</v>
      </c>
      <c r="I739" s="11">
        <v>5786.93</v>
      </c>
      <c r="J739" s="11">
        <v>0</v>
      </c>
      <c r="K739">
        <v>1</v>
      </c>
    </row>
    <row r="740" spans="1:11" x14ac:dyDescent="0.25">
      <c r="A740" s="9" t="s">
        <v>52</v>
      </c>
      <c r="B740" s="9" t="s">
        <v>23</v>
      </c>
      <c r="C740" s="10">
        <v>46006</v>
      </c>
      <c r="D740" s="10">
        <v>46006</v>
      </c>
      <c r="E740" s="9" t="s">
        <v>1134</v>
      </c>
      <c r="F740" s="9" t="s">
        <v>32</v>
      </c>
      <c r="G740" s="9" t="s">
        <v>58</v>
      </c>
      <c r="H740" s="11">
        <v>6401.4</v>
      </c>
      <c r="I740" s="11">
        <v>6401.4</v>
      </c>
      <c r="J740" s="11">
        <v>0</v>
      </c>
      <c r="K740">
        <v>1</v>
      </c>
    </row>
    <row r="741" spans="1:11" x14ac:dyDescent="0.25">
      <c r="A741" s="9" t="s">
        <v>52</v>
      </c>
      <c r="B741" s="9" t="s">
        <v>23</v>
      </c>
      <c r="C741" s="10">
        <v>46006</v>
      </c>
      <c r="D741" s="10">
        <v>46006</v>
      </c>
      <c r="E741" s="9" t="s">
        <v>1135</v>
      </c>
      <c r="F741" s="9" t="s">
        <v>32</v>
      </c>
      <c r="G741" s="9" t="s">
        <v>82</v>
      </c>
      <c r="H741" s="11">
        <v>1968.56</v>
      </c>
      <c r="I741" s="11">
        <v>1968.56</v>
      </c>
      <c r="J741" s="11">
        <v>0</v>
      </c>
      <c r="K741">
        <v>1</v>
      </c>
    </row>
    <row r="742" spans="1:11" x14ac:dyDescent="0.25">
      <c r="A742" s="9" t="s">
        <v>52</v>
      </c>
      <c r="B742" s="9" t="s">
        <v>23</v>
      </c>
      <c r="C742" s="10">
        <v>46006</v>
      </c>
      <c r="D742" s="10">
        <v>46006</v>
      </c>
      <c r="E742" s="9" t="s">
        <v>1136</v>
      </c>
      <c r="F742" s="9" t="s">
        <v>32</v>
      </c>
      <c r="G742" s="9" t="s">
        <v>1137</v>
      </c>
      <c r="H742" s="11">
        <v>6431.74</v>
      </c>
      <c r="I742" s="11">
        <v>6431.74</v>
      </c>
      <c r="J742" s="11">
        <v>0</v>
      </c>
      <c r="K742">
        <v>1</v>
      </c>
    </row>
    <row r="743" spans="1:11" x14ac:dyDescent="0.25">
      <c r="A743" s="9" t="s">
        <v>52</v>
      </c>
      <c r="B743" s="9" t="s">
        <v>23</v>
      </c>
      <c r="C743" s="10">
        <v>46006</v>
      </c>
      <c r="D743" s="10">
        <v>46006</v>
      </c>
      <c r="E743" s="9" t="s">
        <v>1138</v>
      </c>
      <c r="F743" s="9" t="s">
        <v>32</v>
      </c>
      <c r="G743" s="9" t="s">
        <v>814</v>
      </c>
      <c r="H743" s="11">
        <v>5167.96</v>
      </c>
      <c r="I743" s="11">
        <v>5167.96</v>
      </c>
      <c r="J743" s="11">
        <v>0</v>
      </c>
      <c r="K743">
        <v>1</v>
      </c>
    </row>
    <row r="744" spans="1:11" x14ac:dyDescent="0.25">
      <c r="A744" s="9" t="s">
        <v>52</v>
      </c>
      <c r="B744" s="9" t="s">
        <v>23</v>
      </c>
      <c r="C744" s="10">
        <v>46006</v>
      </c>
      <c r="D744" s="10">
        <v>46006</v>
      </c>
      <c r="E744" s="9" t="s">
        <v>1139</v>
      </c>
      <c r="F744" s="9" t="s">
        <v>32</v>
      </c>
      <c r="G744" s="9" t="s">
        <v>1140</v>
      </c>
      <c r="H744" s="11">
        <v>7337.12</v>
      </c>
      <c r="I744" s="11">
        <v>7337.12</v>
      </c>
      <c r="J744" s="11">
        <v>0</v>
      </c>
      <c r="K744">
        <v>1</v>
      </c>
    </row>
    <row r="745" spans="1:11" x14ac:dyDescent="0.25">
      <c r="A745" s="9" t="s">
        <v>52</v>
      </c>
      <c r="B745" s="9" t="s">
        <v>23</v>
      </c>
      <c r="C745" s="10">
        <v>46006</v>
      </c>
      <c r="D745" s="10">
        <v>46006</v>
      </c>
      <c r="E745" s="9" t="s">
        <v>1141</v>
      </c>
      <c r="F745" s="9" t="s">
        <v>32</v>
      </c>
      <c r="G745" s="9" t="s">
        <v>124</v>
      </c>
      <c r="H745" s="11">
        <v>5850.66</v>
      </c>
      <c r="I745" s="11">
        <v>5850.66</v>
      </c>
      <c r="J745" s="11">
        <v>0</v>
      </c>
      <c r="K745">
        <v>1</v>
      </c>
    </row>
    <row r="746" spans="1:11" x14ac:dyDescent="0.25">
      <c r="A746" s="9" t="s">
        <v>52</v>
      </c>
      <c r="B746" s="9" t="s">
        <v>23</v>
      </c>
      <c r="C746" s="10">
        <v>46006</v>
      </c>
      <c r="D746" s="10">
        <v>46006</v>
      </c>
      <c r="E746" s="9" t="s">
        <v>1142</v>
      </c>
      <c r="F746" s="9" t="s">
        <v>32</v>
      </c>
      <c r="G746" s="9" t="s">
        <v>1091</v>
      </c>
      <c r="H746" s="11">
        <v>841.64</v>
      </c>
      <c r="I746" s="11">
        <v>841.64</v>
      </c>
      <c r="J746" s="11">
        <v>0</v>
      </c>
      <c r="K746">
        <v>1</v>
      </c>
    </row>
    <row r="747" spans="1:11" x14ac:dyDescent="0.25">
      <c r="A747" s="9" t="s">
        <v>52</v>
      </c>
      <c r="B747" s="9" t="s">
        <v>23</v>
      </c>
      <c r="C747" s="10">
        <v>46006</v>
      </c>
      <c r="D747" s="10">
        <v>46006</v>
      </c>
      <c r="E747" s="9" t="s">
        <v>1143</v>
      </c>
      <c r="F747" s="9" t="s">
        <v>32</v>
      </c>
      <c r="G747" s="9" t="s">
        <v>108</v>
      </c>
      <c r="H747" s="11">
        <v>1132.08</v>
      </c>
      <c r="I747" s="11">
        <v>1132.08</v>
      </c>
      <c r="J747" s="11">
        <v>0</v>
      </c>
      <c r="K747">
        <v>1</v>
      </c>
    </row>
    <row r="748" spans="1:11" x14ac:dyDescent="0.25">
      <c r="A748" s="9" t="s">
        <v>52</v>
      </c>
      <c r="B748" s="9" t="s">
        <v>23</v>
      </c>
      <c r="C748" s="10">
        <v>46006</v>
      </c>
      <c r="D748" s="10">
        <v>46006</v>
      </c>
      <c r="E748" s="9" t="s">
        <v>1144</v>
      </c>
      <c r="F748" s="9" t="s">
        <v>32</v>
      </c>
      <c r="G748" s="9" t="s">
        <v>1145</v>
      </c>
      <c r="H748" s="11">
        <v>1112.08</v>
      </c>
      <c r="I748" s="11">
        <v>1112.08</v>
      </c>
      <c r="J748" s="11">
        <v>0</v>
      </c>
      <c r="K748">
        <v>1</v>
      </c>
    </row>
    <row r="749" spans="1:11" x14ac:dyDescent="0.25">
      <c r="A749" s="9" t="s">
        <v>52</v>
      </c>
      <c r="B749" s="9" t="s">
        <v>23</v>
      </c>
      <c r="C749" s="10">
        <v>46006</v>
      </c>
      <c r="D749" s="10">
        <v>46006</v>
      </c>
      <c r="E749" s="9" t="s">
        <v>1146</v>
      </c>
      <c r="F749" s="9" t="s">
        <v>32</v>
      </c>
      <c r="G749" s="9" t="s">
        <v>1147</v>
      </c>
      <c r="H749" s="11">
        <v>9292.7900000000009</v>
      </c>
      <c r="I749" s="11">
        <v>9292.7900000000009</v>
      </c>
      <c r="J749" s="11">
        <v>0</v>
      </c>
      <c r="K749">
        <v>1</v>
      </c>
    </row>
    <row r="750" spans="1:11" x14ac:dyDescent="0.25">
      <c r="A750" s="9" t="s">
        <v>52</v>
      </c>
      <c r="B750" s="9" t="s">
        <v>23</v>
      </c>
      <c r="C750" s="10">
        <v>46006</v>
      </c>
      <c r="D750" s="10">
        <v>46006</v>
      </c>
      <c r="E750" s="9" t="s">
        <v>1148</v>
      </c>
      <c r="F750" s="9" t="s">
        <v>32</v>
      </c>
      <c r="G750" s="9" t="s">
        <v>220</v>
      </c>
      <c r="H750" s="11">
        <v>2033.63</v>
      </c>
      <c r="I750" s="11">
        <v>2033.63</v>
      </c>
      <c r="J750" s="11">
        <v>0</v>
      </c>
      <c r="K750">
        <v>1</v>
      </c>
    </row>
    <row r="751" spans="1:11" x14ac:dyDescent="0.25">
      <c r="A751" s="9" t="s">
        <v>52</v>
      </c>
      <c r="B751" s="9" t="s">
        <v>23</v>
      </c>
      <c r="C751" s="10">
        <v>46006</v>
      </c>
      <c r="D751" s="10">
        <v>46006</v>
      </c>
      <c r="E751" s="9" t="s">
        <v>1149</v>
      </c>
      <c r="F751" s="9" t="s">
        <v>32</v>
      </c>
      <c r="G751" s="9" t="s">
        <v>254</v>
      </c>
      <c r="H751" s="11">
        <v>4182.5600000000004</v>
      </c>
      <c r="I751" s="11">
        <v>4182.5600000000004</v>
      </c>
      <c r="J751" s="11">
        <v>0</v>
      </c>
      <c r="K751">
        <v>1</v>
      </c>
    </row>
    <row r="752" spans="1:11" x14ac:dyDescent="0.25">
      <c r="A752" s="9" t="s">
        <v>52</v>
      </c>
      <c r="B752" s="9" t="s">
        <v>23</v>
      </c>
      <c r="C752" s="10">
        <v>46006</v>
      </c>
      <c r="D752" s="10">
        <v>46006</v>
      </c>
      <c r="E752" s="9" t="s">
        <v>1150</v>
      </c>
      <c r="F752" s="9" t="s">
        <v>32</v>
      </c>
      <c r="G752" s="9" t="s">
        <v>1069</v>
      </c>
      <c r="H752" s="11">
        <v>2640.13</v>
      </c>
      <c r="I752" s="11">
        <v>2640.13</v>
      </c>
      <c r="J752" s="11">
        <v>0</v>
      </c>
      <c r="K752">
        <v>1</v>
      </c>
    </row>
    <row r="753" spans="1:11" x14ac:dyDescent="0.25">
      <c r="A753" s="9" t="s">
        <v>52</v>
      </c>
      <c r="B753" s="9" t="s">
        <v>23</v>
      </c>
      <c r="C753" s="10">
        <v>46006</v>
      </c>
      <c r="D753" s="10">
        <v>46006</v>
      </c>
      <c r="E753" s="9" t="s">
        <v>1151</v>
      </c>
      <c r="F753" s="9" t="s">
        <v>32</v>
      </c>
      <c r="G753" s="9" t="s">
        <v>535</v>
      </c>
      <c r="H753" s="11">
        <v>3640.37</v>
      </c>
      <c r="I753" s="11">
        <v>3640.37</v>
      </c>
      <c r="J753" s="11">
        <v>0</v>
      </c>
      <c r="K753">
        <v>1</v>
      </c>
    </row>
    <row r="754" spans="1:11" x14ac:dyDescent="0.25">
      <c r="A754" s="9" t="s">
        <v>52</v>
      </c>
      <c r="B754" s="9" t="s">
        <v>23</v>
      </c>
      <c r="C754" s="10">
        <v>46006</v>
      </c>
      <c r="D754" s="10">
        <v>46006</v>
      </c>
      <c r="E754" s="9" t="s">
        <v>1152</v>
      </c>
      <c r="F754" s="9" t="s">
        <v>32</v>
      </c>
      <c r="G754" s="9" t="s">
        <v>70</v>
      </c>
      <c r="H754" s="11">
        <v>1752.8</v>
      </c>
      <c r="I754" s="11">
        <v>1752.8</v>
      </c>
      <c r="J754" s="11">
        <v>0</v>
      </c>
      <c r="K754">
        <v>1</v>
      </c>
    </row>
    <row r="755" spans="1:11" x14ac:dyDescent="0.25">
      <c r="A755" s="9" t="s">
        <v>52</v>
      </c>
      <c r="B755" s="9" t="s">
        <v>23</v>
      </c>
      <c r="C755" s="10">
        <v>46006</v>
      </c>
      <c r="D755" s="10">
        <v>46006</v>
      </c>
      <c r="E755" s="9" t="s">
        <v>1153</v>
      </c>
      <c r="F755" s="9" t="s">
        <v>32</v>
      </c>
      <c r="G755" s="9" t="s">
        <v>70</v>
      </c>
      <c r="H755" s="11">
        <v>1793.28</v>
      </c>
      <c r="I755" s="11">
        <v>1793.28</v>
      </c>
      <c r="J755" s="11">
        <v>0</v>
      </c>
      <c r="K755">
        <v>1</v>
      </c>
    </row>
    <row r="756" spans="1:11" x14ac:dyDescent="0.25">
      <c r="A756" s="9" t="s">
        <v>52</v>
      </c>
      <c r="B756" s="9" t="s">
        <v>23</v>
      </c>
      <c r="C756" s="10">
        <v>46006</v>
      </c>
      <c r="D756" s="10">
        <v>46006</v>
      </c>
      <c r="E756" s="9" t="s">
        <v>1154</v>
      </c>
      <c r="F756" s="9" t="s">
        <v>32</v>
      </c>
      <c r="G756" s="9" t="s">
        <v>828</v>
      </c>
      <c r="H756" s="11">
        <v>1846.16</v>
      </c>
      <c r="I756" s="11">
        <v>1846.16</v>
      </c>
      <c r="J756" s="11">
        <v>0</v>
      </c>
      <c r="K756">
        <v>1</v>
      </c>
    </row>
    <row r="757" spans="1:11" x14ac:dyDescent="0.25">
      <c r="A757" s="9" t="s">
        <v>52</v>
      </c>
      <c r="B757" s="9" t="s">
        <v>23</v>
      </c>
      <c r="C757" s="10">
        <v>46006</v>
      </c>
      <c r="D757" s="10">
        <v>46006</v>
      </c>
      <c r="E757" s="9" t="s">
        <v>1155</v>
      </c>
      <c r="F757" s="9" t="s">
        <v>32</v>
      </c>
      <c r="G757" s="9" t="s">
        <v>220</v>
      </c>
      <c r="H757" s="11">
        <v>1867.47</v>
      </c>
      <c r="I757" s="11">
        <v>1867.47</v>
      </c>
      <c r="J757" s="11">
        <v>0</v>
      </c>
      <c r="K757">
        <v>1</v>
      </c>
    </row>
    <row r="758" spans="1:11" x14ac:dyDescent="0.25">
      <c r="A758" s="9" t="s">
        <v>52</v>
      </c>
      <c r="B758" s="9" t="s">
        <v>23</v>
      </c>
      <c r="C758" s="10">
        <v>46006</v>
      </c>
      <c r="D758" s="10">
        <v>46006</v>
      </c>
      <c r="E758" s="9" t="s">
        <v>1156</v>
      </c>
      <c r="F758" s="9" t="s">
        <v>32</v>
      </c>
      <c r="G758" s="9" t="s">
        <v>127</v>
      </c>
      <c r="H758" s="11">
        <v>1953.38</v>
      </c>
      <c r="I758" s="11">
        <v>1953.38</v>
      </c>
      <c r="J758" s="11">
        <v>0</v>
      </c>
      <c r="K758">
        <v>1</v>
      </c>
    </row>
    <row r="759" spans="1:11" x14ac:dyDescent="0.25">
      <c r="A759" s="9" t="s">
        <v>52</v>
      </c>
      <c r="B759" s="9" t="s">
        <v>23</v>
      </c>
      <c r="C759" s="10">
        <v>46006</v>
      </c>
      <c r="D759" s="10">
        <v>46006</v>
      </c>
      <c r="E759" s="9" t="s">
        <v>1157</v>
      </c>
      <c r="F759" s="9" t="s">
        <v>32</v>
      </c>
      <c r="G759" s="9" t="s">
        <v>1158</v>
      </c>
      <c r="H759" s="11">
        <v>1977.28</v>
      </c>
      <c r="I759" s="11">
        <v>1977.28</v>
      </c>
      <c r="J759" s="11">
        <v>0</v>
      </c>
      <c r="K759">
        <v>1</v>
      </c>
    </row>
    <row r="760" spans="1:11" x14ac:dyDescent="0.25">
      <c r="A760" s="9" t="s">
        <v>52</v>
      </c>
      <c r="B760" s="9" t="s">
        <v>23</v>
      </c>
      <c r="C760" s="10">
        <v>46006</v>
      </c>
      <c r="D760" s="10">
        <v>46006</v>
      </c>
      <c r="E760" s="9" t="s">
        <v>1159</v>
      </c>
      <c r="F760" s="9" t="s">
        <v>32</v>
      </c>
      <c r="G760" s="9" t="s">
        <v>1072</v>
      </c>
      <c r="H760" s="11">
        <v>2015.05</v>
      </c>
      <c r="I760" s="11">
        <v>2015.05</v>
      </c>
      <c r="J760" s="11">
        <v>0</v>
      </c>
      <c r="K760">
        <v>1</v>
      </c>
    </row>
    <row r="761" spans="1:11" x14ac:dyDescent="0.25">
      <c r="A761" s="9" t="s">
        <v>52</v>
      </c>
      <c r="B761" s="9" t="s">
        <v>23</v>
      </c>
      <c r="C761" s="10">
        <v>46006</v>
      </c>
      <c r="D761" s="10">
        <v>46006</v>
      </c>
      <c r="E761" s="9" t="s">
        <v>1160</v>
      </c>
      <c r="F761" s="9" t="s">
        <v>32</v>
      </c>
      <c r="G761" s="9" t="s">
        <v>972</v>
      </c>
      <c r="H761" s="11">
        <v>1476.56</v>
      </c>
      <c r="I761" s="11">
        <v>1476.56</v>
      </c>
      <c r="J761" s="11">
        <v>0</v>
      </c>
      <c r="K761">
        <v>1</v>
      </c>
    </row>
    <row r="762" spans="1:11" x14ac:dyDescent="0.25">
      <c r="A762" s="9" t="s">
        <v>52</v>
      </c>
      <c r="B762" s="9" t="s">
        <v>23</v>
      </c>
      <c r="C762" s="10">
        <v>46006</v>
      </c>
      <c r="D762" s="10">
        <v>46006</v>
      </c>
      <c r="E762" s="9" t="s">
        <v>1161</v>
      </c>
      <c r="F762" s="9" t="s">
        <v>32</v>
      </c>
      <c r="G762" s="9" t="s">
        <v>80</v>
      </c>
      <c r="H762" s="11">
        <v>2118.38</v>
      </c>
      <c r="I762" s="11">
        <v>2118.38</v>
      </c>
      <c r="J762" s="11">
        <v>0</v>
      </c>
      <c r="K762">
        <v>1</v>
      </c>
    </row>
    <row r="763" spans="1:11" x14ac:dyDescent="0.25">
      <c r="A763" s="9" t="s">
        <v>52</v>
      </c>
      <c r="B763" s="9" t="s">
        <v>23</v>
      </c>
      <c r="C763" s="10">
        <v>46006</v>
      </c>
      <c r="D763" s="10">
        <v>46006</v>
      </c>
      <c r="E763" s="9" t="s">
        <v>1162</v>
      </c>
      <c r="F763" s="9" t="s">
        <v>32</v>
      </c>
      <c r="G763" s="9" t="s">
        <v>1145</v>
      </c>
      <c r="H763" s="11">
        <v>2275.61</v>
      </c>
      <c r="I763" s="11">
        <v>2275.61</v>
      </c>
      <c r="J763" s="11">
        <v>0</v>
      </c>
      <c r="K763">
        <v>1</v>
      </c>
    </row>
    <row r="764" spans="1:11" x14ac:dyDescent="0.25">
      <c r="A764" s="9" t="s">
        <v>52</v>
      </c>
      <c r="B764" s="9" t="s">
        <v>23</v>
      </c>
      <c r="C764" s="10">
        <v>46006</v>
      </c>
      <c r="D764" s="10">
        <v>46006</v>
      </c>
      <c r="E764" s="9" t="s">
        <v>1163</v>
      </c>
      <c r="F764" s="9" t="s">
        <v>32</v>
      </c>
      <c r="G764" s="9" t="s">
        <v>341</v>
      </c>
      <c r="H764" s="11">
        <v>2401.77</v>
      </c>
      <c r="I764" s="11">
        <v>2401.77</v>
      </c>
      <c r="J764" s="11">
        <v>0</v>
      </c>
      <c r="K764">
        <v>1</v>
      </c>
    </row>
    <row r="765" spans="1:11" x14ac:dyDescent="0.25">
      <c r="A765" s="9" t="s">
        <v>52</v>
      </c>
      <c r="B765" s="9" t="s">
        <v>23</v>
      </c>
      <c r="C765" s="10">
        <v>46006</v>
      </c>
      <c r="D765" s="10">
        <v>46006</v>
      </c>
      <c r="E765" s="9" t="s">
        <v>1164</v>
      </c>
      <c r="F765" s="9" t="s">
        <v>32</v>
      </c>
      <c r="G765" s="9" t="s">
        <v>700</v>
      </c>
      <c r="H765" s="11">
        <v>2412.37</v>
      </c>
      <c r="I765" s="11">
        <v>2412.37</v>
      </c>
      <c r="J765" s="11">
        <v>0</v>
      </c>
      <c r="K765">
        <v>1</v>
      </c>
    </row>
    <row r="766" spans="1:11" x14ac:dyDescent="0.25">
      <c r="A766" s="9" t="s">
        <v>52</v>
      </c>
      <c r="B766" s="9" t="s">
        <v>23</v>
      </c>
      <c r="C766" s="10">
        <v>46006</v>
      </c>
      <c r="D766" s="10">
        <v>46006</v>
      </c>
      <c r="E766" s="9" t="s">
        <v>1165</v>
      </c>
      <c r="F766" s="9" t="s">
        <v>32</v>
      </c>
      <c r="G766" s="9" t="s">
        <v>206</v>
      </c>
      <c r="H766" s="11">
        <v>512.38</v>
      </c>
      <c r="I766" s="11">
        <v>512.38</v>
      </c>
      <c r="J766" s="11">
        <v>0</v>
      </c>
      <c r="K766">
        <v>1</v>
      </c>
    </row>
    <row r="767" spans="1:11" x14ac:dyDescent="0.25">
      <c r="A767" s="9" t="s">
        <v>52</v>
      </c>
      <c r="B767" s="9" t="s">
        <v>23</v>
      </c>
      <c r="C767" s="10">
        <v>46006</v>
      </c>
      <c r="D767" s="10">
        <v>46006</v>
      </c>
      <c r="E767" s="9" t="s">
        <v>1166</v>
      </c>
      <c r="F767" s="9" t="s">
        <v>32</v>
      </c>
      <c r="G767" s="9" t="s">
        <v>1167</v>
      </c>
      <c r="H767" s="11">
        <v>2757.93</v>
      </c>
      <c r="I767" s="11">
        <v>2757.93</v>
      </c>
      <c r="J767" s="11">
        <v>0</v>
      </c>
      <c r="K767">
        <v>1</v>
      </c>
    </row>
    <row r="768" spans="1:11" x14ac:dyDescent="0.25">
      <c r="A768" s="9" t="s">
        <v>52</v>
      </c>
      <c r="B768" s="9" t="s">
        <v>23</v>
      </c>
      <c r="C768" s="10">
        <v>46006</v>
      </c>
      <c r="D768" s="10">
        <v>46006</v>
      </c>
      <c r="E768" s="9" t="s">
        <v>1168</v>
      </c>
      <c r="F768" s="9" t="s">
        <v>32</v>
      </c>
      <c r="G768" s="9" t="s">
        <v>74</v>
      </c>
      <c r="H768" s="11">
        <v>2760.9</v>
      </c>
      <c r="I768" s="11">
        <v>2760.9</v>
      </c>
      <c r="J768" s="11">
        <v>0</v>
      </c>
      <c r="K768">
        <v>1</v>
      </c>
    </row>
    <row r="769" spans="1:11" x14ac:dyDescent="0.25">
      <c r="A769" s="9" t="s">
        <v>52</v>
      </c>
      <c r="B769" s="9" t="s">
        <v>23</v>
      </c>
      <c r="C769" s="10">
        <v>46006</v>
      </c>
      <c r="D769" s="10">
        <v>46006</v>
      </c>
      <c r="E769" s="9" t="s">
        <v>1169</v>
      </c>
      <c r="F769" s="9" t="s">
        <v>32</v>
      </c>
      <c r="G769" s="9" t="s">
        <v>498</v>
      </c>
      <c r="H769" s="11">
        <v>3050.09</v>
      </c>
      <c r="I769" s="11">
        <v>3050.09</v>
      </c>
      <c r="J769" s="11">
        <v>0</v>
      </c>
      <c r="K769">
        <v>1</v>
      </c>
    </row>
    <row r="770" spans="1:11" x14ac:dyDescent="0.25">
      <c r="A770" s="9" t="s">
        <v>52</v>
      </c>
      <c r="B770" s="9" t="s">
        <v>23</v>
      </c>
      <c r="C770" s="10">
        <v>46006</v>
      </c>
      <c r="D770" s="10">
        <v>46006</v>
      </c>
      <c r="E770" s="9" t="s">
        <v>1170</v>
      </c>
      <c r="F770" s="9" t="s">
        <v>32</v>
      </c>
      <c r="G770" s="9" t="s">
        <v>788</v>
      </c>
      <c r="H770" s="11">
        <v>2230.65</v>
      </c>
      <c r="I770" s="11">
        <v>2230.65</v>
      </c>
      <c r="J770" s="11">
        <v>0</v>
      </c>
      <c r="K770">
        <v>1</v>
      </c>
    </row>
    <row r="771" spans="1:11" x14ac:dyDescent="0.25">
      <c r="A771" s="9" t="s">
        <v>52</v>
      </c>
      <c r="B771" s="9" t="s">
        <v>23</v>
      </c>
      <c r="C771" s="10">
        <v>46006</v>
      </c>
      <c r="D771" s="10">
        <v>46006</v>
      </c>
      <c r="E771" s="9" t="s">
        <v>1171</v>
      </c>
      <c r="F771" s="9" t="s">
        <v>32</v>
      </c>
      <c r="G771" s="9" t="s">
        <v>1057</v>
      </c>
      <c r="H771" s="11">
        <v>6660</v>
      </c>
      <c r="I771" s="11">
        <v>6660</v>
      </c>
      <c r="J771" s="11">
        <v>0</v>
      </c>
      <c r="K771">
        <v>1</v>
      </c>
    </row>
    <row r="772" spans="1:11" x14ac:dyDescent="0.25">
      <c r="A772" s="9" t="s">
        <v>52</v>
      </c>
      <c r="B772" s="9" t="s">
        <v>23</v>
      </c>
      <c r="C772" s="10">
        <v>46006</v>
      </c>
      <c r="D772" s="10">
        <v>46006</v>
      </c>
      <c r="E772" s="9" t="s">
        <v>1172</v>
      </c>
      <c r="F772" s="9" t="s">
        <v>141</v>
      </c>
      <c r="G772" s="9" t="s">
        <v>1173</v>
      </c>
      <c r="H772" s="11">
        <v>-721.05</v>
      </c>
      <c r="I772" s="11">
        <v>-721.05</v>
      </c>
      <c r="J772" s="11">
        <v>0</v>
      </c>
      <c r="K772">
        <v>1</v>
      </c>
    </row>
    <row r="773" spans="1:11" x14ac:dyDescent="0.25">
      <c r="A773" s="9" t="s">
        <v>52</v>
      </c>
      <c r="B773" s="9" t="s">
        <v>23</v>
      </c>
      <c r="C773" s="10">
        <v>46006</v>
      </c>
      <c r="D773" s="10">
        <v>46006</v>
      </c>
      <c r="E773" s="9" t="s">
        <v>1174</v>
      </c>
      <c r="F773" s="9" t="s">
        <v>32</v>
      </c>
      <c r="G773" s="9" t="s">
        <v>291</v>
      </c>
      <c r="H773" s="11">
        <v>12408.26</v>
      </c>
      <c r="I773" s="11">
        <v>12408.26</v>
      </c>
      <c r="J773" s="11">
        <v>0</v>
      </c>
      <c r="K773">
        <v>1</v>
      </c>
    </row>
    <row r="774" spans="1:11" x14ac:dyDescent="0.25">
      <c r="A774" s="9" t="s">
        <v>52</v>
      </c>
      <c r="B774" s="9" t="s">
        <v>23</v>
      </c>
      <c r="C774" s="10">
        <v>46006</v>
      </c>
      <c r="D774" s="10">
        <v>46006</v>
      </c>
      <c r="E774" s="9" t="s">
        <v>1175</v>
      </c>
      <c r="F774" s="9" t="s">
        <v>32</v>
      </c>
      <c r="G774" s="9" t="s">
        <v>303</v>
      </c>
      <c r="H774" s="11">
        <v>10110.66</v>
      </c>
      <c r="I774" s="11">
        <v>10110.66</v>
      </c>
      <c r="J774" s="11">
        <v>0</v>
      </c>
      <c r="K774">
        <v>1</v>
      </c>
    </row>
    <row r="775" spans="1:11" x14ac:dyDescent="0.25">
      <c r="A775" s="9" t="s">
        <v>52</v>
      </c>
      <c r="B775" s="9" t="s">
        <v>23</v>
      </c>
      <c r="C775" s="10">
        <v>46006</v>
      </c>
      <c r="D775" s="10">
        <v>46006</v>
      </c>
      <c r="E775" s="9" t="s">
        <v>1176</v>
      </c>
      <c r="F775" s="9" t="s">
        <v>32</v>
      </c>
      <c r="G775" s="9" t="s">
        <v>634</v>
      </c>
      <c r="H775" s="11">
        <v>1073.04</v>
      </c>
      <c r="I775" s="11">
        <v>1073.04</v>
      </c>
      <c r="J775" s="11">
        <v>0</v>
      </c>
      <c r="K775">
        <v>1</v>
      </c>
    </row>
    <row r="776" spans="1:11" x14ac:dyDescent="0.25">
      <c r="A776" s="9" t="s">
        <v>52</v>
      </c>
      <c r="B776" s="9" t="s">
        <v>23</v>
      </c>
      <c r="C776" s="10">
        <v>46006</v>
      </c>
      <c r="D776" s="10">
        <v>46006</v>
      </c>
      <c r="E776" s="9" t="s">
        <v>1177</v>
      </c>
      <c r="F776" s="9" t="s">
        <v>32</v>
      </c>
      <c r="G776" s="9" t="s">
        <v>674</v>
      </c>
      <c r="H776" s="11">
        <v>14738.18</v>
      </c>
      <c r="I776" s="11">
        <v>14738.18</v>
      </c>
      <c r="J776" s="11">
        <v>0</v>
      </c>
      <c r="K776">
        <v>1</v>
      </c>
    </row>
    <row r="777" spans="1:11" x14ac:dyDescent="0.25">
      <c r="A777" s="9" t="s">
        <v>52</v>
      </c>
      <c r="B777" s="9" t="s">
        <v>23</v>
      </c>
      <c r="C777" s="10">
        <v>46006</v>
      </c>
      <c r="D777" s="10">
        <v>46006</v>
      </c>
      <c r="E777" s="9" t="s">
        <v>1178</v>
      </c>
      <c r="F777" s="9" t="s">
        <v>32</v>
      </c>
      <c r="G777" s="9" t="s">
        <v>595</v>
      </c>
      <c r="H777" s="11">
        <v>3531.62</v>
      </c>
      <c r="I777" s="11">
        <v>3531.62</v>
      </c>
      <c r="J777" s="11">
        <v>0</v>
      </c>
      <c r="K777">
        <v>1</v>
      </c>
    </row>
    <row r="778" spans="1:11" x14ac:dyDescent="0.25">
      <c r="A778" s="9" t="s">
        <v>52</v>
      </c>
      <c r="B778" s="9" t="s">
        <v>23</v>
      </c>
      <c r="C778" s="10">
        <v>46006</v>
      </c>
      <c r="D778" s="10">
        <v>46006</v>
      </c>
      <c r="E778" s="9" t="s">
        <v>1179</v>
      </c>
      <c r="F778" s="9" t="s">
        <v>32</v>
      </c>
      <c r="G778" s="9" t="s">
        <v>428</v>
      </c>
      <c r="H778" s="11">
        <v>1984.3</v>
      </c>
      <c r="I778" s="11">
        <v>1984.3</v>
      </c>
      <c r="J778" s="11">
        <v>0</v>
      </c>
      <c r="K778">
        <v>1</v>
      </c>
    </row>
    <row r="779" spans="1:11" x14ac:dyDescent="0.25">
      <c r="A779" s="9" t="s">
        <v>52</v>
      </c>
      <c r="B779" s="9" t="s">
        <v>23</v>
      </c>
      <c r="C779" s="10">
        <v>46006</v>
      </c>
      <c r="D779" s="10">
        <v>46006</v>
      </c>
      <c r="E779" s="9" t="s">
        <v>1180</v>
      </c>
      <c r="F779" s="9" t="s">
        <v>32</v>
      </c>
      <c r="G779" s="9" t="s">
        <v>483</v>
      </c>
      <c r="H779" s="11">
        <v>2664.47</v>
      </c>
      <c r="I779" s="11">
        <v>2664.47</v>
      </c>
      <c r="J779" s="11">
        <v>0</v>
      </c>
      <c r="K779">
        <v>1</v>
      </c>
    </row>
    <row r="780" spans="1:11" x14ac:dyDescent="0.25">
      <c r="A780" s="9" t="s">
        <v>52</v>
      </c>
      <c r="B780" s="9" t="s">
        <v>23</v>
      </c>
      <c r="C780" s="10">
        <v>46006</v>
      </c>
      <c r="D780" s="10">
        <v>46006</v>
      </c>
      <c r="E780" s="9" t="s">
        <v>1181</v>
      </c>
      <c r="F780" s="9" t="s">
        <v>32</v>
      </c>
      <c r="G780" s="9" t="s">
        <v>102</v>
      </c>
      <c r="H780" s="11">
        <v>8498.5499999999993</v>
      </c>
      <c r="I780" s="11">
        <v>8498.5499999999993</v>
      </c>
      <c r="J780" s="11">
        <v>0</v>
      </c>
      <c r="K780">
        <v>1</v>
      </c>
    </row>
    <row r="781" spans="1:11" x14ac:dyDescent="0.25">
      <c r="A781" s="9" t="s">
        <v>52</v>
      </c>
      <c r="B781" s="9" t="s">
        <v>23</v>
      </c>
      <c r="C781" s="10">
        <v>46006</v>
      </c>
      <c r="D781" s="10">
        <v>46006</v>
      </c>
      <c r="E781" s="9" t="s">
        <v>1182</v>
      </c>
      <c r="F781" s="9" t="s">
        <v>32</v>
      </c>
      <c r="G781" s="9" t="s">
        <v>281</v>
      </c>
      <c r="H781" s="11">
        <v>10396.09</v>
      </c>
      <c r="I781" s="11">
        <v>10396.09</v>
      </c>
      <c r="J781" s="11">
        <v>0</v>
      </c>
      <c r="K781">
        <v>1</v>
      </c>
    </row>
    <row r="782" spans="1:11" x14ac:dyDescent="0.25">
      <c r="A782" s="9" t="s">
        <v>52</v>
      </c>
      <c r="B782" s="9" t="s">
        <v>23</v>
      </c>
      <c r="C782" s="10">
        <v>46006</v>
      </c>
      <c r="D782" s="10">
        <v>46006</v>
      </c>
      <c r="E782" s="9" t="s">
        <v>1183</v>
      </c>
      <c r="F782" s="9" t="s">
        <v>32</v>
      </c>
      <c r="G782" s="9" t="s">
        <v>228</v>
      </c>
      <c r="H782" s="11">
        <v>10361.6</v>
      </c>
      <c r="I782" s="11">
        <v>10361.6</v>
      </c>
      <c r="J782" s="11">
        <v>0</v>
      </c>
      <c r="K782">
        <v>1</v>
      </c>
    </row>
    <row r="783" spans="1:11" x14ac:dyDescent="0.25">
      <c r="A783" s="9" t="s">
        <v>52</v>
      </c>
      <c r="B783" s="9" t="s">
        <v>23</v>
      </c>
      <c r="C783" s="10">
        <v>46006</v>
      </c>
      <c r="D783" s="10">
        <v>46006</v>
      </c>
      <c r="E783" s="9" t="s">
        <v>1184</v>
      </c>
      <c r="F783" s="9" t="s">
        <v>32</v>
      </c>
      <c r="G783" s="9" t="s">
        <v>634</v>
      </c>
      <c r="H783" s="11">
        <v>1633.23</v>
      </c>
      <c r="I783" s="11">
        <v>1633.23</v>
      </c>
      <c r="J783" s="11">
        <v>0</v>
      </c>
      <c r="K783">
        <v>1</v>
      </c>
    </row>
    <row r="784" spans="1:11" x14ac:dyDescent="0.25">
      <c r="A784" s="9" t="s">
        <v>52</v>
      </c>
      <c r="B784" s="9" t="s">
        <v>23</v>
      </c>
      <c r="C784" s="10">
        <v>46006</v>
      </c>
      <c r="D784" s="10">
        <v>46006</v>
      </c>
      <c r="E784" s="9" t="s">
        <v>1185</v>
      </c>
      <c r="F784" s="9" t="s">
        <v>32</v>
      </c>
      <c r="G784" s="9" t="s">
        <v>314</v>
      </c>
      <c r="H784" s="11">
        <v>27287.4</v>
      </c>
      <c r="I784" s="11">
        <v>27287.4</v>
      </c>
      <c r="J784" s="11">
        <v>0</v>
      </c>
      <c r="K784">
        <v>1</v>
      </c>
    </row>
    <row r="785" spans="1:11" x14ac:dyDescent="0.25">
      <c r="A785" s="9" t="s">
        <v>52</v>
      </c>
      <c r="B785" s="9" t="s">
        <v>23</v>
      </c>
      <c r="C785" s="10">
        <v>46006</v>
      </c>
      <c r="D785" s="10">
        <v>46006</v>
      </c>
      <c r="E785" s="9" t="s">
        <v>1186</v>
      </c>
      <c r="F785" s="9" t="s">
        <v>32</v>
      </c>
      <c r="G785" s="9" t="s">
        <v>273</v>
      </c>
      <c r="H785" s="11">
        <v>26045.75</v>
      </c>
      <c r="I785" s="11">
        <v>26045.75</v>
      </c>
      <c r="J785" s="11">
        <v>0</v>
      </c>
      <c r="K785">
        <v>1</v>
      </c>
    </row>
    <row r="786" spans="1:11" x14ac:dyDescent="0.25">
      <c r="A786" s="9" t="s">
        <v>52</v>
      </c>
      <c r="B786" s="9" t="s">
        <v>23</v>
      </c>
      <c r="C786" s="10">
        <v>46006</v>
      </c>
      <c r="D786" s="10">
        <v>46006</v>
      </c>
      <c r="E786" s="9" t="s">
        <v>1187</v>
      </c>
      <c r="F786" s="9" t="s">
        <v>32</v>
      </c>
      <c r="G786" s="9" t="s">
        <v>442</v>
      </c>
      <c r="H786" s="11">
        <v>5887.33</v>
      </c>
      <c r="I786" s="11">
        <v>5887.33</v>
      </c>
      <c r="J786" s="11">
        <v>0</v>
      </c>
      <c r="K786">
        <v>1</v>
      </c>
    </row>
    <row r="787" spans="1:11" x14ac:dyDescent="0.25">
      <c r="A787" s="9" t="s">
        <v>52</v>
      </c>
      <c r="B787" s="9" t="s">
        <v>23</v>
      </c>
      <c r="C787" s="10">
        <v>46006</v>
      </c>
      <c r="D787" s="10">
        <v>46006</v>
      </c>
      <c r="E787" s="9" t="s">
        <v>1188</v>
      </c>
      <c r="F787" s="9" t="s">
        <v>32</v>
      </c>
      <c r="G787" s="9" t="s">
        <v>116</v>
      </c>
      <c r="H787" s="11">
        <v>6497.3</v>
      </c>
      <c r="I787" s="11">
        <v>6497.3</v>
      </c>
      <c r="J787" s="11">
        <v>0</v>
      </c>
      <c r="K787">
        <v>1</v>
      </c>
    </row>
    <row r="788" spans="1:11" x14ac:dyDescent="0.25">
      <c r="A788" s="9" t="s">
        <v>52</v>
      </c>
      <c r="B788" s="9" t="s">
        <v>23</v>
      </c>
      <c r="C788" s="10">
        <v>46006</v>
      </c>
      <c r="D788" s="10">
        <v>46006</v>
      </c>
      <c r="E788" s="9" t="s">
        <v>1189</v>
      </c>
      <c r="F788" s="9" t="s">
        <v>32</v>
      </c>
      <c r="G788" s="9" t="s">
        <v>309</v>
      </c>
      <c r="H788" s="11">
        <v>7626.27</v>
      </c>
      <c r="I788" s="11">
        <v>7626.27</v>
      </c>
      <c r="J788" s="11">
        <v>0</v>
      </c>
      <c r="K788">
        <v>1</v>
      </c>
    </row>
    <row r="789" spans="1:11" x14ac:dyDescent="0.25">
      <c r="A789" s="9" t="s">
        <v>52</v>
      </c>
      <c r="B789" s="9" t="s">
        <v>23</v>
      </c>
      <c r="C789" s="10">
        <v>46006</v>
      </c>
      <c r="D789" s="10">
        <v>46006</v>
      </c>
      <c r="E789" s="9" t="s">
        <v>1190</v>
      </c>
      <c r="F789" s="9" t="s">
        <v>32</v>
      </c>
      <c r="G789" s="9" t="s">
        <v>634</v>
      </c>
      <c r="H789" s="11">
        <v>2199.2199999999998</v>
      </c>
      <c r="I789" s="11">
        <v>2199.2199999999998</v>
      </c>
      <c r="J789" s="11">
        <v>0</v>
      </c>
      <c r="K789">
        <v>1</v>
      </c>
    </row>
    <row r="790" spans="1:11" x14ac:dyDescent="0.25">
      <c r="A790" s="9" t="s">
        <v>52</v>
      </c>
      <c r="B790" s="9" t="s">
        <v>23</v>
      </c>
      <c r="C790" s="10">
        <v>46006</v>
      </c>
      <c r="D790" s="10">
        <v>46006</v>
      </c>
      <c r="E790" s="9" t="s">
        <v>1191</v>
      </c>
      <c r="F790" s="9" t="s">
        <v>32</v>
      </c>
      <c r="G790" s="9" t="s">
        <v>277</v>
      </c>
      <c r="H790" s="11">
        <v>9987.58</v>
      </c>
      <c r="I790" s="11">
        <v>9987.58</v>
      </c>
      <c r="J790" s="11">
        <v>0</v>
      </c>
      <c r="K790">
        <v>1</v>
      </c>
    </row>
    <row r="791" spans="1:11" x14ac:dyDescent="0.25">
      <c r="A791" s="9" t="s">
        <v>52</v>
      </c>
      <c r="B791" s="9" t="s">
        <v>23</v>
      </c>
      <c r="C791" s="10">
        <v>46006</v>
      </c>
      <c r="D791" s="10">
        <v>46006</v>
      </c>
      <c r="E791" s="9" t="s">
        <v>1192</v>
      </c>
      <c r="F791" s="9" t="s">
        <v>32</v>
      </c>
      <c r="G791" s="9" t="s">
        <v>362</v>
      </c>
      <c r="H791" s="11">
        <v>1313.6</v>
      </c>
      <c r="I791" s="11">
        <v>1313.6</v>
      </c>
      <c r="J791" s="11">
        <v>0</v>
      </c>
      <c r="K791">
        <v>1</v>
      </c>
    </row>
    <row r="792" spans="1:11" x14ac:dyDescent="0.25">
      <c r="A792" s="9" t="s">
        <v>52</v>
      </c>
      <c r="B792" s="9" t="s">
        <v>23</v>
      </c>
      <c r="C792" s="10">
        <v>46006</v>
      </c>
      <c r="D792" s="10">
        <v>46006</v>
      </c>
      <c r="E792" s="9" t="s">
        <v>1193</v>
      </c>
      <c r="F792" s="9" t="s">
        <v>32</v>
      </c>
      <c r="G792" s="9" t="s">
        <v>33</v>
      </c>
      <c r="H792" s="11">
        <v>17689.240000000002</v>
      </c>
      <c r="I792" s="11">
        <v>17689.240000000002</v>
      </c>
      <c r="J792" s="11">
        <v>0</v>
      </c>
      <c r="K792">
        <v>1</v>
      </c>
    </row>
    <row r="793" spans="1:11" x14ac:dyDescent="0.25">
      <c r="A793" s="9" t="s">
        <v>52</v>
      </c>
      <c r="B793" s="9" t="s">
        <v>23</v>
      </c>
      <c r="C793" s="10">
        <v>46006</v>
      </c>
      <c r="D793" s="10">
        <v>46006</v>
      </c>
      <c r="E793" s="9" t="s">
        <v>1194</v>
      </c>
      <c r="F793" s="9" t="s">
        <v>32</v>
      </c>
      <c r="G793" s="9" t="s">
        <v>139</v>
      </c>
      <c r="H793" s="11">
        <v>1113.6199999999999</v>
      </c>
      <c r="I793" s="11">
        <v>1113.6199999999999</v>
      </c>
      <c r="J793" s="11">
        <v>0</v>
      </c>
      <c r="K793">
        <v>1</v>
      </c>
    </row>
    <row r="794" spans="1:11" x14ac:dyDescent="0.25">
      <c r="A794" s="9" t="s">
        <v>52</v>
      </c>
      <c r="B794" s="9" t="s">
        <v>23</v>
      </c>
      <c r="C794" s="10">
        <v>46006</v>
      </c>
      <c r="D794" s="10">
        <v>46006</v>
      </c>
      <c r="E794" s="9" t="s">
        <v>1195</v>
      </c>
      <c r="F794" s="9" t="s">
        <v>32</v>
      </c>
      <c r="G794" s="9" t="s">
        <v>277</v>
      </c>
      <c r="H794" s="11">
        <v>4695.09</v>
      </c>
      <c r="I794" s="11">
        <v>4695.09</v>
      </c>
      <c r="J794" s="11">
        <v>0</v>
      </c>
      <c r="K794">
        <v>1</v>
      </c>
    </row>
    <row r="795" spans="1:11" x14ac:dyDescent="0.25">
      <c r="A795" s="9" t="s">
        <v>52</v>
      </c>
      <c r="B795" s="9" t="s">
        <v>23</v>
      </c>
      <c r="C795" s="10">
        <v>46006</v>
      </c>
      <c r="D795" s="10">
        <v>46006</v>
      </c>
      <c r="E795" s="9" t="s">
        <v>1196</v>
      </c>
      <c r="F795" s="9" t="s">
        <v>32</v>
      </c>
      <c r="G795" s="9" t="s">
        <v>133</v>
      </c>
      <c r="H795" s="11">
        <v>4114.09</v>
      </c>
      <c r="I795" s="11">
        <v>4114.09</v>
      </c>
      <c r="J795" s="11">
        <v>0</v>
      </c>
      <c r="K795">
        <v>1</v>
      </c>
    </row>
    <row r="796" spans="1:11" x14ac:dyDescent="0.25">
      <c r="A796" s="9" t="s">
        <v>52</v>
      </c>
      <c r="B796" s="9" t="s">
        <v>23</v>
      </c>
      <c r="C796" s="10">
        <v>46006</v>
      </c>
      <c r="D796" s="10">
        <v>46006</v>
      </c>
      <c r="E796" s="9" t="s">
        <v>1197</v>
      </c>
      <c r="F796" s="9" t="s">
        <v>32</v>
      </c>
      <c r="G796" s="9" t="s">
        <v>309</v>
      </c>
      <c r="H796" s="11">
        <v>3993.1</v>
      </c>
      <c r="I796" s="11">
        <v>3993.1</v>
      </c>
      <c r="J796" s="11">
        <v>0</v>
      </c>
      <c r="K796">
        <v>1</v>
      </c>
    </row>
    <row r="797" spans="1:11" x14ac:dyDescent="0.25">
      <c r="A797" s="9" t="s">
        <v>52</v>
      </c>
      <c r="B797" s="9" t="s">
        <v>23</v>
      </c>
      <c r="C797" s="10">
        <v>46006</v>
      </c>
      <c r="D797" s="10">
        <v>46006</v>
      </c>
      <c r="E797" s="9" t="s">
        <v>1198</v>
      </c>
      <c r="F797" s="9" t="s">
        <v>32</v>
      </c>
      <c r="G797" s="9" t="s">
        <v>674</v>
      </c>
      <c r="H797" s="11">
        <v>8613.26</v>
      </c>
      <c r="I797" s="11">
        <v>8613.26</v>
      </c>
      <c r="J797" s="11">
        <v>0</v>
      </c>
      <c r="K797">
        <v>1</v>
      </c>
    </row>
    <row r="798" spans="1:11" x14ac:dyDescent="0.25">
      <c r="A798" s="9" t="s">
        <v>52</v>
      </c>
      <c r="B798" s="9" t="s">
        <v>23</v>
      </c>
      <c r="C798" s="10">
        <v>46006</v>
      </c>
      <c r="D798" s="10">
        <v>46006</v>
      </c>
      <c r="E798" s="9" t="s">
        <v>1199</v>
      </c>
      <c r="F798" s="9" t="s">
        <v>32</v>
      </c>
      <c r="G798" s="9" t="s">
        <v>275</v>
      </c>
      <c r="H798" s="11">
        <v>1890.28</v>
      </c>
      <c r="I798" s="11">
        <v>1890.28</v>
      </c>
      <c r="J798" s="11">
        <v>0</v>
      </c>
      <c r="K798">
        <v>1</v>
      </c>
    </row>
    <row r="799" spans="1:11" x14ac:dyDescent="0.25">
      <c r="A799" s="9" t="s">
        <v>52</v>
      </c>
      <c r="B799" s="9" t="s">
        <v>23</v>
      </c>
      <c r="C799" s="10">
        <v>46006</v>
      </c>
      <c r="D799" s="10">
        <v>46006</v>
      </c>
      <c r="E799" s="9" t="s">
        <v>1200</v>
      </c>
      <c r="F799" s="9" t="s">
        <v>32</v>
      </c>
      <c r="G799" s="9" t="s">
        <v>245</v>
      </c>
      <c r="H799" s="11">
        <v>1860.39</v>
      </c>
      <c r="I799" s="11">
        <v>1860.39</v>
      </c>
      <c r="J799" s="11">
        <v>0</v>
      </c>
      <c r="K799">
        <v>1</v>
      </c>
    </row>
    <row r="800" spans="1:11" x14ac:dyDescent="0.25">
      <c r="A800" s="9" t="s">
        <v>52</v>
      </c>
      <c r="B800" s="9" t="s">
        <v>23</v>
      </c>
      <c r="C800" s="10">
        <v>46006</v>
      </c>
      <c r="D800" s="10">
        <v>46006</v>
      </c>
      <c r="E800" s="9" t="s">
        <v>1201</v>
      </c>
      <c r="F800" s="9" t="s">
        <v>32</v>
      </c>
      <c r="G800" s="9" t="s">
        <v>268</v>
      </c>
      <c r="H800" s="11">
        <v>17726.52</v>
      </c>
      <c r="I800" s="11">
        <v>17726.52</v>
      </c>
      <c r="J800" s="11">
        <v>0</v>
      </c>
      <c r="K800">
        <v>1</v>
      </c>
    </row>
    <row r="801" spans="1:11" x14ac:dyDescent="0.25">
      <c r="A801" s="9" t="s">
        <v>52</v>
      </c>
      <c r="B801" s="9" t="s">
        <v>23</v>
      </c>
      <c r="C801" s="10">
        <v>46006</v>
      </c>
      <c r="D801" s="10">
        <v>46006</v>
      </c>
      <c r="E801" s="9" t="s">
        <v>1202</v>
      </c>
      <c r="F801" s="9" t="s">
        <v>32</v>
      </c>
      <c r="G801" s="9" t="s">
        <v>448</v>
      </c>
      <c r="H801" s="11">
        <v>6969.61</v>
      </c>
      <c r="I801" s="11">
        <v>6969.61</v>
      </c>
      <c r="J801" s="11">
        <v>0</v>
      </c>
      <c r="K801">
        <v>1</v>
      </c>
    </row>
    <row r="802" spans="1:11" x14ac:dyDescent="0.25">
      <c r="A802" s="9" t="s">
        <v>52</v>
      </c>
      <c r="B802" s="9" t="s">
        <v>23</v>
      </c>
      <c r="C802" s="10">
        <v>46006</v>
      </c>
      <c r="D802" s="10">
        <v>46006</v>
      </c>
      <c r="E802" s="9" t="s">
        <v>1203</v>
      </c>
      <c r="F802" s="9" t="s">
        <v>32</v>
      </c>
      <c r="G802" s="9" t="s">
        <v>1204</v>
      </c>
      <c r="H802" s="11">
        <v>2292.08</v>
      </c>
      <c r="I802" s="11">
        <v>2292.08</v>
      </c>
      <c r="J802" s="11">
        <v>0</v>
      </c>
      <c r="K802">
        <v>1</v>
      </c>
    </row>
    <row r="803" spans="1:11" x14ac:dyDescent="0.25">
      <c r="A803" s="9" t="s">
        <v>52</v>
      </c>
      <c r="B803" s="9" t="s">
        <v>23</v>
      </c>
      <c r="C803" s="10">
        <v>46006</v>
      </c>
      <c r="D803" s="10">
        <v>46006</v>
      </c>
      <c r="E803" s="9" t="s">
        <v>1205</v>
      </c>
      <c r="F803" s="9" t="s">
        <v>32</v>
      </c>
      <c r="G803" s="9" t="s">
        <v>448</v>
      </c>
      <c r="H803" s="11">
        <v>17644.259999999998</v>
      </c>
      <c r="I803" s="11">
        <v>17644.259999999998</v>
      </c>
      <c r="J803" s="11">
        <v>0</v>
      </c>
      <c r="K803">
        <v>1</v>
      </c>
    </row>
    <row r="804" spans="1:11" x14ac:dyDescent="0.25">
      <c r="A804" s="9" t="s">
        <v>52</v>
      </c>
      <c r="B804" s="9" t="s">
        <v>23</v>
      </c>
      <c r="C804" s="10">
        <v>46006</v>
      </c>
      <c r="D804" s="10">
        <v>46006</v>
      </c>
      <c r="E804" s="9" t="s">
        <v>1206</v>
      </c>
      <c r="F804" s="9" t="s">
        <v>32</v>
      </c>
      <c r="G804" s="9" t="s">
        <v>133</v>
      </c>
      <c r="H804" s="11">
        <v>4796.49</v>
      </c>
      <c r="I804" s="11">
        <v>4796.49</v>
      </c>
      <c r="J804" s="11">
        <v>0</v>
      </c>
      <c r="K804">
        <v>1</v>
      </c>
    </row>
    <row r="805" spans="1:11" x14ac:dyDescent="0.25">
      <c r="A805" s="9" t="s">
        <v>52</v>
      </c>
      <c r="B805" s="9" t="s">
        <v>23</v>
      </c>
      <c r="C805" s="10">
        <v>46006</v>
      </c>
      <c r="D805" s="10">
        <v>46006</v>
      </c>
      <c r="E805" s="9" t="s">
        <v>1207</v>
      </c>
      <c r="F805" s="9" t="s">
        <v>32</v>
      </c>
      <c r="G805" s="9" t="s">
        <v>297</v>
      </c>
      <c r="H805" s="11">
        <v>5104.3500000000004</v>
      </c>
      <c r="I805" s="11">
        <v>5104.3500000000004</v>
      </c>
      <c r="J805" s="11">
        <v>0</v>
      </c>
      <c r="K805">
        <v>1</v>
      </c>
    </row>
    <row r="806" spans="1:11" x14ac:dyDescent="0.25">
      <c r="A806" s="9" t="s">
        <v>52</v>
      </c>
      <c r="B806" s="9" t="s">
        <v>23</v>
      </c>
      <c r="C806" s="10">
        <v>46006</v>
      </c>
      <c r="D806" s="10">
        <v>46006</v>
      </c>
      <c r="E806" s="9" t="s">
        <v>1208</v>
      </c>
      <c r="F806" s="9" t="s">
        <v>32</v>
      </c>
      <c r="G806" s="9" t="s">
        <v>674</v>
      </c>
      <c r="H806" s="11">
        <v>3943.56</v>
      </c>
      <c r="I806" s="11">
        <v>3943.56</v>
      </c>
      <c r="J806" s="11">
        <v>0</v>
      </c>
      <c r="K806">
        <v>1</v>
      </c>
    </row>
    <row r="807" spans="1:11" x14ac:dyDescent="0.25">
      <c r="A807" s="9" t="s">
        <v>52</v>
      </c>
      <c r="B807" s="9" t="s">
        <v>23</v>
      </c>
      <c r="C807" s="10">
        <v>46006</v>
      </c>
      <c r="D807" s="10">
        <v>46006</v>
      </c>
      <c r="E807" s="9" t="s">
        <v>1209</v>
      </c>
      <c r="F807" s="9" t="s">
        <v>32</v>
      </c>
      <c r="G807" s="9" t="s">
        <v>256</v>
      </c>
      <c r="H807" s="11">
        <v>2468.0700000000002</v>
      </c>
      <c r="I807" s="11">
        <v>2468.0700000000002</v>
      </c>
      <c r="J807" s="11">
        <v>0</v>
      </c>
      <c r="K807">
        <v>1</v>
      </c>
    </row>
    <row r="808" spans="1:11" x14ac:dyDescent="0.25">
      <c r="A808" s="9" t="s">
        <v>52</v>
      </c>
      <c r="B808" s="9" t="s">
        <v>23</v>
      </c>
      <c r="C808" s="10">
        <v>46007</v>
      </c>
      <c r="D808" s="10">
        <v>46007</v>
      </c>
      <c r="E808" s="9" t="s">
        <v>1210</v>
      </c>
      <c r="F808" s="9" t="s">
        <v>32</v>
      </c>
      <c r="G808" s="9" t="s">
        <v>275</v>
      </c>
      <c r="H808" s="11">
        <v>5067.03</v>
      </c>
      <c r="I808" s="11">
        <v>5067.03</v>
      </c>
      <c r="J808" s="11">
        <v>0</v>
      </c>
      <c r="K808">
        <v>1</v>
      </c>
    </row>
    <row r="809" spans="1:11" x14ac:dyDescent="0.25">
      <c r="A809" s="9" t="s">
        <v>52</v>
      </c>
      <c r="B809" s="9" t="s">
        <v>23</v>
      </c>
      <c r="C809" s="10">
        <v>46007</v>
      </c>
      <c r="D809" s="10">
        <v>46007</v>
      </c>
      <c r="E809" s="9" t="s">
        <v>1211</v>
      </c>
      <c r="F809" s="9" t="s">
        <v>32</v>
      </c>
      <c r="G809" s="9" t="s">
        <v>396</v>
      </c>
      <c r="H809" s="11">
        <v>1995.05</v>
      </c>
      <c r="I809" s="11">
        <v>1995.05</v>
      </c>
      <c r="J809" s="11">
        <v>0</v>
      </c>
      <c r="K809">
        <v>1</v>
      </c>
    </row>
    <row r="810" spans="1:11" x14ac:dyDescent="0.25">
      <c r="A810" s="9" t="s">
        <v>52</v>
      </c>
      <c r="B810" s="9" t="s">
        <v>23</v>
      </c>
      <c r="C810" s="10">
        <v>46007</v>
      </c>
      <c r="D810" s="10">
        <v>46007</v>
      </c>
      <c r="E810" s="9" t="s">
        <v>1212</v>
      </c>
      <c r="F810" s="9" t="s">
        <v>32</v>
      </c>
      <c r="G810" s="9" t="s">
        <v>131</v>
      </c>
      <c r="H810" s="11">
        <v>2983.69</v>
      </c>
      <c r="I810" s="11">
        <v>2983.69</v>
      </c>
      <c r="J810" s="11">
        <v>0</v>
      </c>
      <c r="K810">
        <v>1</v>
      </c>
    </row>
    <row r="811" spans="1:11" x14ac:dyDescent="0.25">
      <c r="A811" s="9" t="s">
        <v>52</v>
      </c>
      <c r="B811" s="9" t="s">
        <v>23</v>
      </c>
      <c r="C811" s="10">
        <v>46007</v>
      </c>
      <c r="D811" s="10">
        <v>46007</v>
      </c>
      <c r="E811" s="9" t="s">
        <v>1213</v>
      </c>
      <c r="F811" s="9" t="s">
        <v>32</v>
      </c>
      <c r="G811" s="9" t="s">
        <v>1214</v>
      </c>
      <c r="H811" s="11">
        <v>2343.96</v>
      </c>
      <c r="I811" s="11">
        <v>2343.96</v>
      </c>
      <c r="J811" s="11">
        <v>0</v>
      </c>
      <c r="K811">
        <v>1</v>
      </c>
    </row>
    <row r="812" spans="1:11" x14ac:dyDescent="0.25">
      <c r="A812" s="9" t="s">
        <v>52</v>
      </c>
      <c r="B812" s="9" t="s">
        <v>23</v>
      </c>
      <c r="C812" s="10">
        <v>46007</v>
      </c>
      <c r="D812" s="10">
        <v>46007</v>
      </c>
      <c r="E812" s="9" t="s">
        <v>1215</v>
      </c>
      <c r="F812" s="9" t="s">
        <v>32</v>
      </c>
      <c r="G812" s="9" t="s">
        <v>1216</v>
      </c>
      <c r="H812" s="11">
        <v>1161.82</v>
      </c>
      <c r="I812" s="11">
        <v>1161.82</v>
      </c>
      <c r="J812" s="11">
        <v>0</v>
      </c>
      <c r="K812">
        <v>1</v>
      </c>
    </row>
    <row r="813" spans="1:11" x14ac:dyDescent="0.25">
      <c r="A813" s="9" t="s">
        <v>52</v>
      </c>
      <c r="B813" s="9" t="s">
        <v>23</v>
      </c>
      <c r="C813" s="10">
        <v>46007</v>
      </c>
      <c r="D813" s="10">
        <v>46007</v>
      </c>
      <c r="E813" s="9" t="s">
        <v>1217</v>
      </c>
      <c r="F813" s="9" t="s">
        <v>32</v>
      </c>
      <c r="G813" s="9" t="s">
        <v>84</v>
      </c>
      <c r="H813" s="11">
        <v>2877.8</v>
      </c>
      <c r="I813" s="11">
        <v>2877.8</v>
      </c>
      <c r="J813" s="11">
        <v>0</v>
      </c>
      <c r="K813">
        <v>1</v>
      </c>
    </row>
    <row r="814" spans="1:11" x14ac:dyDescent="0.25">
      <c r="A814" s="9" t="s">
        <v>52</v>
      </c>
      <c r="B814" s="9" t="s">
        <v>23</v>
      </c>
      <c r="C814" s="10">
        <v>46007</v>
      </c>
      <c r="D814" s="10">
        <v>46007</v>
      </c>
      <c r="E814" s="9" t="s">
        <v>1218</v>
      </c>
      <c r="F814" s="9" t="s">
        <v>32</v>
      </c>
      <c r="G814" s="9" t="s">
        <v>1219</v>
      </c>
      <c r="H814" s="11">
        <v>2028.34</v>
      </c>
      <c r="I814" s="11">
        <v>2028.34</v>
      </c>
      <c r="J814" s="11">
        <v>0</v>
      </c>
      <c r="K814">
        <v>1</v>
      </c>
    </row>
    <row r="815" spans="1:11" x14ac:dyDescent="0.25">
      <c r="A815" s="9" t="s">
        <v>52</v>
      </c>
      <c r="B815" s="9" t="s">
        <v>23</v>
      </c>
      <c r="C815" s="10">
        <v>46007</v>
      </c>
      <c r="D815" s="10">
        <v>46007</v>
      </c>
      <c r="E815" s="9" t="s">
        <v>1220</v>
      </c>
      <c r="F815" s="9" t="s">
        <v>32</v>
      </c>
      <c r="G815" s="9" t="s">
        <v>62</v>
      </c>
      <c r="H815" s="11">
        <v>2078.56</v>
      </c>
      <c r="I815" s="11">
        <v>2078.56</v>
      </c>
      <c r="J815" s="11">
        <v>0</v>
      </c>
      <c r="K815">
        <v>1</v>
      </c>
    </row>
    <row r="816" spans="1:11" x14ac:dyDescent="0.25">
      <c r="A816" s="9" t="s">
        <v>52</v>
      </c>
      <c r="B816" s="9" t="s">
        <v>23</v>
      </c>
      <c r="C816" s="10">
        <v>46007</v>
      </c>
      <c r="D816" s="10">
        <v>46007</v>
      </c>
      <c r="E816" s="9" t="s">
        <v>1221</v>
      </c>
      <c r="F816" s="9" t="s">
        <v>32</v>
      </c>
      <c r="G816" s="9" t="s">
        <v>72</v>
      </c>
      <c r="H816" s="11">
        <v>2284.56</v>
      </c>
      <c r="I816" s="11">
        <v>2284.56</v>
      </c>
      <c r="J816" s="11">
        <v>0</v>
      </c>
      <c r="K816">
        <v>1</v>
      </c>
    </row>
    <row r="817" spans="1:11" x14ac:dyDescent="0.25">
      <c r="A817" s="9" t="s">
        <v>52</v>
      </c>
      <c r="B817" s="9" t="s">
        <v>23</v>
      </c>
      <c r="C817" s="10">
        <v>46007</v>
      </c>
      <c r="D817" s="10">
        <v>46007</v>
      </c>
      <c r="E817" s="9" t="s">
        <v>1222</v>
      </c>
      <c r="F817" s="9" t="s">
        <v>32</v>
      </c>
      <c r="G817" s="9" t="s">
        <v>634</v>
      </c>
      <c r="H817" s="11">
        <v>2137.27</v>
      </c>
      <c r="I817" s="11">
        <v>2137.27</v>
      </c>
      <c r="J817" s="11">
        <v>0</v>
      </c>
      <c r="K817">
        <v>1</v>
      </c>
    </row>
    <row r="818" spans="1:11" x14ac:dyDescent="0.25">
      <c r="A818" s="9" t="s">
        <v>52</v>
      </c>
      <c r="B818" s="9" t="s">
        <v>23</v>
      </c>
      <c r="C818" s="10">
        <v>46007</v>
      </c>
      <c r="D818" s="10">
        <v>46007</v>
      </c>
      <c r="E818" s="9" t="s">
        <v>1223</v>
      </c>
      <c r="F818" s="9" t="s">
        <v>32</v>
      </c>
      <c r="G818" s="9" t="s">
        <v>764</v>
      </c>
      <c r="H818" s="11">
        <v>9833.0499999999993</v>
      </c>
      <c r="I818" s="11">
        <v>9833.0499999999993</v>
      </c>
      <c r="J818" s="11">
        <v>0</v>
      </c>
      <c r="K818">
        <v>1</v>
      </c>
    </row>
    <row r="819" spans="1:11" x14ac:dyDescent="0.25">
      <c r="A819" s="9" t="s">
        <v>52</v>
      </c>
      <c r="B819" s="9" t="s">
        <v>23</v>
      </c>
      <c r="C819" s="10">
        <v>46007</v>
      </c>
      <c r="D819" s="10">
        <v>46007</v>
      </c>
      <c r="E819" s="9" t="s">
        <v>1224</v>
      </c>
      <c r="F819" s="9" t="s">
        <v>32</v>
      </c>
      <c r="G819" s="9" t="s">
        <v>898</v>
      </c>
      <c r="H819" s="11">
        <v>3443.48</v>
      </c>
      <c r="I819" s="11">
        <v>3443.48</v>
      </c>
      <c r="J819" s="11">
        <v>0</v>
      </c>
      <c r="K819">
        <v>1</v>
      </c>
    </row>
    <row r="820" spans="1:11" x14ac:dyDescent="0.25">
      <c r="A820" s="9" t="s">
        <v>52</v>
      </c>
      <c r="B820" s="9" t="s">
        <v>23</v>
      </c>
      <c r="C820" s="10">
        <v>46007</v>
      </c>
      <c r="D820" s="10">
        <v>46007</v>
      </c>
      <c r="E820" s="9" t="s">
        <v>1225</v>
      </c>
      <c r="F820" s="9" t="s">
        <v>32</v>
      </c>
      <c r="G820" s="9" t="s">
        <v>1226</v>
      </c>
      <c r="H820" s="11">
        <v>2500.06</v>
      </c>
      <c r="I820" s="11">
        <v>2500.06</v>
      </c>
      <c r="J820" s="11">
        <v>0</v>
      </c>
      <c r="K820">
        <v>1</v>
      </c>
    </row>
    <row r="821" spans="1:11" x14ac:dyDescent="0.25">
      <c r="A821" s="9" t="s">
        <v>52</v>
      </c>
      <c r="B821" s="9" t="s">
        <v>23</v>
      </c>
      <c r="C821" s="10">
        <v>46007</v>
      </c>
      <c r="D821" s="10">
        <v>46007</v>
      </c>
      <c r="E821" s="9" t="s">
        <v>1227</v>
      </c>
      <c r="F821" s="9" t="s">
        <v>32</v>
      </c>
      <c r="G821" s="9" t="s">
        <v>442</v>
      </c>
      <c r="H821" s="11">
        <v>4865.79</v>
      </c>
      <c r="I821" s="11">
        <v>4865.79</v>
      </c>
      <c r="J821" s="11">
        <v>0</v>
      </c>
      <c r="K821">
        <v>1</v>
      </c>
    </row>
    <row r="822" spans="1:11" x14ac:dyDescent="0.25">
      <c r="A822" s="9" t="s">
        <v>52</v>
      </c>
      <c r="B822" s="9" t="s">
        <v>23</v>
      </c>
      <c r="C822" s="10">
        <v>46007</v>
      </c>
      <c r="D822" s="10">
        <v>46007</v>
      </c>
      <c r="E822" s="9" t="s">
        <v>1228</v>
      </c>
      <c r="F822" s="9" t="s">
        <v>32</v>
      </c>
      <c r="G822" s="9" t="s">
        <v>76</v>
      </c>
      <c r="H822" s="11">
        <v>3447.52</v>
      </c>
      <c r="I822" s="11">
        <v>3447.52</v>
      </c>
      <c r="J822" s="11">
        <v>0</v>
      </c>
      <c r="K822">
        <v>1</v>
      </c>
    </row>
    <row r="823" spans="1:11" x14ac:dyDescent="0.25">
      <c r="A823" s="9" t="s">
        <v>52</v>
      </c>
      <c r="B823" s="9" t="s">
        <v>23</v>
      </c>
      <c r="C823" s="10">
        <v>46007</v>
      </c>
      <c r="D823" s="10">
        <v>46007</v>
      </c>
      <c r="E823" s="9" t="s">
        <v>1229</v>
      </c>
      <c r="F823" s="9" t="s">
        <v>32</v>
      </c>
      <c r="G823" s="9" t="s">
        <v>904</v>
      </c>
      <c r="H823" s="11">
        <v>12213.05</v>
      </c>
      <c r="I823" s="11">
        <v>12213.05</v>
      </c>
      <c r="J823" s="11">
        <v>0</v>
      </c>
      <c r="K823">
        <v>1</v>
      </c>
    </row>
    <row r="824" spans="1:11" x14ac:dyDescent="0.25">
      <c r="A824" s="9" t="s">
        <v>52</v>
      </c>
      <c r="B824" s="9" t="s">
        <v>23</v>
      </c>
      <c r="C824" s="10">
        <v>46007</v>
      </c>
      <c r="D824" s="10">
        <v>46007</v>
      </c>
      <c r="E824" s="9" t="s">
        <v>1230</v>
      </c>
      <c r="F824" s="9" t="s">
        <v>32</v>
      </c>
      <c r="G824" s="9" t="s">
        <v>268</v>
      </c>
      <c r="H824" s="11">
        <v>13005.3</v>
      </c>
      <c r="I824" s="11">
        <v>13005.3</v>
      </c>
      <c r="J824" s="11">
        <v>0</v>
      </c>
      <c r="K824">
        <v>1</v>
      </c>
    </row>
    <row r="825" spans="1:11" x14ac:dyDescent="0.25">
      <c r="A825" s="9" t="s">
        <v>52</v>
      </c>
      <c r="B825" s="9" t="s">
        <v>23</v>
      </c>
      <c r="C825" s="10">
        <v>46007</v>
      </c>
      <c r="D825" s="10">
        <v>46007</v>
      </c>
      <c r="E825" s="9" t="s">
        <v>1231</v>
      </c>
      <c r="F825" s="9" t="s">
        <v>32</v>
      </c>
      <c r="G825" s="9" t="s">
        <v>422</v>
      </c>
      <c r="H825" s="11">
        <v>1688.66</v>
      </c>
      <c r="I825" s="11">
        <v>1688.66</v>
      </c>
      <c r="J825" s="11">
        <v>0</v>
      </c>
      <c r="K825">
        <v>1</v>
      </c>
    </row>
    <row r="826" spans="1:11" x14ac:dyDescent="0.25">
      <c r="A826" s="9" t="s">
        <v>52</v>
      </c>
      <c r="B826" s="9" t="s">
        <v>23</v>
      </c>
      <c r="C826" s="10">
        <v>46007</v>
      </c>
      <c r="D826" s="10">
        <v>46007</v>
      </c>
      <c r="E826" s="9" t="s">
        <v>1232</v>
      </c>
      <c r="F826" s="9" t="s">
        <v>32</v>
      </c>
      <c r="G826" s="9" t="s">
        <v>279</v>
      </c>
      <c r="H826" s="11">
        <v>3696.46</v>
      </c>
      <c r="I826" s="11">
        <v>3696.46</v>
      </c>
      <c r="J826" s="11">
        <v>0</v>
      </c>
      <c r="K826">
        <v>1</v>
      </c>
    </row>
    <row r="827" spans="1:11" x14ac:dyDescent="0.25">
      <c r="A827" s="9" t="s">
        <v>52</v>
      </c>
      <c r="B827" s="9" t="s">
        <v>23</v>
      </c>
      <c r="C827" s="10">
        <v>46007</v>
      </c>
      <c r="D827" s="10">
        <v>46007</v>
      </c>
      <c r="E827" s="9" t="s">
        <v>1233</v>
      </c>
      <c r="F827" s="9" t="s">
        <v>32</v>
      </c>
      <c r="G827" s="9" t="s">
        <v>666</v>
      </c>
      <c r="H827" s="11">
        <v>9258</v>
      </c>
      <c r="I827" s="11">
        <v>9258</v>
      </c>
      <c r="J827" s="11">
        <v>0</v>
      </c>
      <c r="K827">
        <v>1</v>
      </c>
    </row>
    <row r="828" spans="1:11" x14ac:dyDescent="0.25">
      <c r="A828" s="9" t="s">
        <v>52</v>
      </c>
      <c r="B828" s="9" t="s">
        <v>23</v>
      </c>
      <c r="C828" s="10">
        <v>46007</v>
      </c>
      <c r="D828" s="10">
        <v>46007</v>
      </c>
      <c r="E828" s="9" t="s">
        <v>1234</v>
      </c>
      <c r="F828" s="9" t="s">
        <v>32</v>
      </c>
      <c r="G828" s="9" t="s">
        <v>558</v>
      </c>
      <c r="H828" s="11">
        <v>1760.83</v>
      </c>
      <c r="I828" s="11">
        <v>1760.83</v>
      </c>
      <c r="J828" s="11">
        <v>0</v>
      </c>
      <c r="K828">
        <v>1</v>
      </c>
    </row>
    <row r="829" spans="1:11" x14ac:dyDescent="0.25">
      <c r="A829" s="9" t="s">
        <v>52</v>
      </c>
      <c r="B829" s="9" t="s">
        <v>23</v>
      </c>
      <c r="C829" s="10">
        <v>46007</v>
      </c>
      <c r="D829" s="10">
        <v>46007</v>
      </c>
      <c r="E829" s="9" t="s">
        <v>1235</v>
      </c>
      <c r="F829" s="9" t="s">
        <v>32</v>
      </c>
      <c r="G829" s="9" t="s">
        <v>458</v>
      </c>
      <c r="H829" s="11">
        <v>5661.85</v>
      </c>
      <c r="I829" s="11">
        <v>5661.85</v>
      </c>
      <c r="J829" s="11">
        <v>0</v>
      </c>
      <c r="K829">
        <v>1</v>
      </c>
    </row>
    <row r="830" spans="1:11" x14ac:dyDescent="0.25">
      <c r="A830" s="9" t="s">
        <v>52</v>
      </c>
      <c r="B830" s="9" t="s">
        <v>23</v>
      </c>
      <c r="C830" s="10">
        <v>46007</v>
      </c>
      <c r="D830" s="10">
        <v>46007</v>
      </c>
      <c r="E830" s="9" t="s">
        <v>1236</v>
      </c>
      <c r="F830" s="9" t="s">
        <v>32</v>
      </c>
      <c r="G830" s="9" t="s">
        <v>382</v>
      </c>
      <c r="H830" s="11">
        <v>4489.08</v>
      </c>
      <c r="I830" s="11">
        <v>4489.08</v>
      </c>
      <c r="J830" s="11">
        <v>0</v>
      </c>
      <c r="K830">
        <v>1</v>
      </c>
    </row>
    <row r="831" spans="1:11" x14ac:dyDescent="0.25">
      <c r="A831" s="9" t="s">
        <v>52</v>
      </c>
      <c r="B831" s="9" t="s">
        <v>23</v>
      </c>
      <c r="C831" s="10">
        <v>46007</v>
      </c>
      <c r="D831" s="10">
        <v>46007</v>
      </c>
      <c r="E831" s="9" t="s">
        <v>1237</v>
      </c>
      <c r="F831" s="9" t="s">
        <v>32</v>
      </c>
      <c r="G831" s="9" t="s">
        <v>102</v>
      </c>
      <c r="H831" s="11">
        <v>13409.52</v>
      </c>
      <c r="I831" s="11">
        <v>13409.52</v>
      </c>
      <c r="J831" s="11">
        <v>0</v>
      </c>
      <c r="K831">
        <v>1</v>
      </c>
    </row>
    <row r="832" spans="1:11" x14ac:dyDescent="0.25">
      <c r="A832" s="9" t="s">
        <v>52</v>
      </c>
      <c r="B832" s="9" t="s">
        <v>23</v>
      </c>
      <c r="C832" s="10">
        <v>46007</v>
      </c>
      <c r="D832" s="10">
        <v>46007</v>
      </c>
      <c r="E832" s="9" t="s">
        <v>1238</v>
      </c>
      <c r="F832" s="9" t="s">
        <v>32</v>
      </c>
      <c r="G832" s="9" t="s">
        <v>1239</v>
      </c>
      <c r="H832" s="11">
        <v>4405.99</v>
      </c>
      <c r="I832" s="11">
        <v>4405.99</v>
      </c>
      <c r="J832" s="11">
        <v>0</v>
      </c>
      <c r="K832">
        <v>1</v>
      </c>
    </row>
    <row r="833" spans="1:11" x14ac:dyDescent="0.25">
      <c r="A833" s="9" t="s">
        <v>52</v>
      </c>
      <c r="B833" s="9" t="s">
        <v>23</v>
      </c>
      <c r="C833" s="10">
        <v>46007</v>
      </c>
      <c r="D833" s="10">
        <v>46007</v>
      </c>
      <c r="E833" s="9" t="s">
        <v>1240</v>
      </c>
      <c r="F833" s="9" t="s">
        <v>32</v>
      </c>
      <c r="G833" s="9" t="s">
        <v>68</v>
      </c>
      <c r="H833" s="11">
        <v>3817.99</v>
      </c>
      <c r="I833" s="11">
        <v>3817.99</v>
      </c>
      <c r="J833" s="11">
        <v>0</v>
      </c>
      <c r="K833">
        <v>1</v>
      </c>
    </row>
    <row r="834" spans="1:11" x14ac:dyDescent="0.25">
      <c r="A834" s="9" t="s">
        <v>52</v>
      </c>
      <c r="B834" s="9" t="s">
        <v>23</v>
      </c>
      <c r="C834" s="10">
        <v>46007</v>
      </c>
      <c r="D834" s="10">
        <v>46007</v>
      </c>
      <c r="E834" s="9" t="s">
        <v>1241</v>
      </c>
      <c r="F834" s="9" t="s">
        <v>32</v>
      </c>
      <c r="G834" s="9" t="s">
        <v>235</v>
      </c>
      <c r="H834" s="11">
        <v>6125.76</v>
      </c>
      <c r="I834" s="11">
        <v>6125.76</v>
      </c>
      <c r="J834" s="11">
        <v>0</v>
      </c>
      <c r="K834">
        <v>1</v>
      </c>
    </row>
    <row r="835" spans="1:11" x14ac:dyDescent="0.25">
      <c r="A835" s="9" t="s">
        <v>52</v>
      </c>
      <c r="B835" s="9" t="s">
        <v>23</v>
      </c>
      <c r="C835" s="10">
        <v>46007</v>
      </c>
      <c r="D835" s="10">
        <v>46007</v>
      </c>
      <c r="E835" s="9" t="s">
        <v>1242</v>
      </c>
      <c r="F835" s="9" t="s">
        <v>32</v>
      </c>
      <c r="G835" s="9" t="s">
        <v>458</v>
      </c>
      <c r="H835" s="11">
        <v>13047.91</v>
      </c>
      <c r="I835" s="11">
        <v>13047.91</v>
      </c>
      <c r="J835" s="11">
        <v>0</v>
      </c>
      <c r="K835">
        <v>1</v>
      </c>
    </row>
    <row r="836" spans="1:11" x14ac:dyDescent="0.25">
      <c r="A836" s="9" t="s">
        <v>52</v>
      </c>
      <c r="B836" s="9" t="s">
        <v>23</v>
      </c>
      <c r="C836" s="10">
        <v>46007</v>
      </c>
      <c r="D836" s="10">
        <v>46007</v>
      </c>
      <c r="E836" s="9" t="s">
        <v>1243</v>
      </c>
      <c r="F836" s="9" t="s">
        <v>32</v>
      </c>
      <c r="G836" s="9" t="s">
        <v>637</v>
      </c>
      <c r="H836" s="11">
        <v>3335.92</v>
      </c>
      <c r="I836" s="11">
        <v>3335.92</v>
      </c>
      <c r="J836" s="11">
        <v>0</v>
      </c>
      <c r="K836">
        <v>1</v>
      </c>
    </row>
    <row r="837" spans="1:11" x14ac:dyDescent="0.25">
      <c r="A837" s="9" t="s">
        <v>52</v>
      </c>
      <c r="B837" s="9" t="s">
        <v>23</v>
      </c>
      <c r="C837" s="10">
        <v>46007</v>
      </c>
      <c r="D837" s="10">
        <v>46007</v>
      </c>
      <c r="E837" s="9" t="s">
        <v>1244</v>
      </c>
      <c r="F837" s="9" t="s">
        <v>32</v>
      </c>
      <c r="G837" s="9" t="s">
        <v>1245</v>
      </c>
      <c r="H837" s="11">
        <v>3196.15</v>
      </c>
      <c r="I837" s="11">
        <v>3196.15</v>
      </c>
      <c r="J837" s="11">
        <v>0</v>
      </c>
      <c r="K837">
        <v>1</v>
      </c>
    </row>
    <row r="838" spans="1:11" x14ac:dyDescent="0.25">
      <c r="A838" s="9" t="s">
        <v>52</v>
      </c>
      <c r="B838" s="9" t="s">
        <v>23</v>
      </c>
      <c r="C838" s="10">
        <v>46007</v>
      </c>
      <c r="D838" s="10">
        <v>46007</v>
      </c>
      <c r="E838" s="9" t="s">
        <v>1246</v>
      </c>
      <c r="F838" s="9" t="s">
        <v>32</v>
      </c>
      <c r="G838" s="9" t="s">
        <v>364</v>
      </c>
      <c r="H838" s="11">
        <v>3068.52</v>
      </c>
      <c r="I838" s="11">
        <v>3068.52</v>
      </c>
      <c r="J838" s="11">
        <v>0</v>
      </c>
      <c r="K838">
        <v>1</v>
      </c>
    </row>
    <row r="839" spans="1:11" x14ac:dyDescent="0.25">
      <c r="A839" s="9" t="s">
        <v>52</v>
      </c>
      <c r="B839" s="9" t="s">
        <v>23</v>
      </c>
      <c r="C839" s="10">
        <v>46007</v>
      </c>
      <c r="D839" s="10">
        <v>46007</v>
      </c>
      <c r="E839" s="9" t="s">
        <v>1247</v>
      </c>
      <c r="F839" s="9" t="s">
        <v>32</v>
      </c>
      <c r="G839" s="9" t="s">
        <v>531</v>
      </c>
      <c r="H839" s="11">
        <v>1757.64</v>
      </c>
      <c r="I839" s="11">
        <v>1757.64</v>
      </c>
      <c r="J839" s="11">
        <v>0</v>
      </c>
      <c r="K839">
        <v>1</v>
      </c>
    </row>
    <row r="840" spans="1:11" x14ac:dyDescent="0.25">
      <c r="A840" s="9" t="s">
        <v>52</v>
      </c>
      <c r="B840" s="9" t="s">
        <v>23</v>
      </c>
      <c r="C840" s="10">
        <v>46007</v>
      </c>
      <c r="D840" s="10">
        <v>46007</v>
      </c>
      <c r="E840" s="9" t="s">
        <v>1248</v>
      </c>
      <c r="F840" s="9" t="s">
        <v>32</v>
      </c>
      <c r="G840" s="9" t="s">
        <v>741</v>
      </c>
      <c r="H840" s="11">
        <v>2408.5700000000002</v>
      </c>
      <c r="I840" s="11">
        <v>2408.5700000000002</v>
      </c>
      <c r="J840" s="11">
        <v>0</v>
      </c>
      <c r="K840">
        <v>1</v>
      </c>
    </row>
    <row r="841" spans="1:11" x14ac:dyDescent="0.25">
      <c r="A841" s="9" t="s">
        <v>52</v>
      </c>
      <c r="B841" s="9" t="s">
        <v>23</v>
      </c>
      <c r="C841" s="10">
        <v>46007</v>
      </c>
      <c r="D841" s="10">
        <v>46007</v>
      </c>
      <c r="E841" s="9" t="s">
        <v>1249</v>
      </c>
      <c r="F841" s="9" t="s">
        <v>32</v>
      </c>
      <c r="G841" s="9" t="s">
        <v>1250</v>
      </c>
      <c r="H841" s="11">
        <v>771.39</v>
      </c>
      <c r="I841" s="11">
        <v>771.39</v>
      </c>
      <c r="J841" s="11">
        <v>0</v>
      </c>
      <c r="K841">
        <v>1</v>
      </c>
    </row>
    <row r="842" spans="1:11" x14ac:dyDescent="0.25">
      <c r="A842" s="9" t="s">
        <v>52</v>
      </c>
      <c r="B842" s="9" t="s">
        <v>23</v>
      </c>
      <c r="C842" s="10">
        <v>46007</v>
      </c>
      <c r="D842" s="10">
        <v>46007</v>
      </c>
      <c r="E842" s="9" t="s">
        <v>1251</v>
      </c>
      <c r="F842" s="9" t="s">
        <v>141</v>
      </c>
      <c r="G842" s="9" t="s">
        <v>1252</v>
      </c>
      <c r="H842" s="11">
        <v>-8435.61</v>
      </c>
      <c r="I842" s="11">
        <v>-8435.61</v>
      </c>
      <c r="J842" s="11">
        <v>0</v>
      </c>
      <c r="K842">
        <v>1</v>
      </c>
    </row>
    <row r="843" spans="1:11" x14ac:dyDescent="0.25">
      <c r="A843" s="9" t="s">
        <v>52</v>
      </c>
      <c r="B843" s="9" t="s">
        <v>23</v>
      </c>
      <c r="C843" s="10">
        <v>46007</v>
      </c>
      <c r="D843" s="10">
        <v>46007</v>
      </c>
      <c r="E843" s="9" t="s">
        <v>1253</v>
      </c>
      <c r="F843" s="9" t="s">
        <v>32</v>
      </c>
      <c r="G843" s="9" t="s">
        <v>133</v>
      </c>
      <c r="H843" s="11">
        <v>5843.09</v>
      </c>
      <c r="I843" s="11">
        <v>5843.09</v>
      </c>
      <c r="J843" s="11">
        <v>0</v>
      </c>
      <c r="K843">
        <v>1</v>
      </c>
    </row>
    <row r="844" spans="1:11" x14ac:dyDescent="0.25">
      <c r="A844" s="9" t="s">
        <v>52</v>
      </c>
      <c r="B844" s="9" t="s">
        <v>23</v>
      </c>
      <c r="C844" s="10">
        <v>46007</v>
      </c>
      <c r="D844" s="10">
        <v>46007</v>
      </c>
      <c r="E844" s="9" t="s">
        <v>1254</v>
      </c>
      <c r="F844" s="9" t="s">
        <v>32</v>
      </c>
      <c r="G844" s="9" t="s">
        <v>567</v>
      </c>
      <c r="H844" s="11">
        <v>655.29999999999995</v>
      </c>
      <c r="I844" s="11">
        <v>655.29999999999995</v>
      </c>
      <c r="J844" s="11">
        <v>0</v>
      </c>
      <c r="K844">
        <v>1</v>
      </c>
    </row>
    <row r="845" spans="1:11" x14ac:dyDescent="0.25">
      <c r="A845" s="9" t="s">
        <v>52</v>
      </c>
      <c r="B845" s="9" t="s">
        <v>23</v>
      </c>
      <c r="C845" s="10">
        <v>46007</v>
      </c>
      <c r="D845" s="10">
        <v>46007</v>
      </c>
      <c r="E845" s="9" t="s">
        <v>1255</v>
      </c>
      <c r="F845" s="9" t="s">
        <v>32</v>
      </c>
      <c r="G845" s="9" t="s">
        <v>595</v>
      </c>
      <c r="H845" s="11">
        <v>7412.05</v>
      </c>
      <c r="I845" s="11">
        <v>7412.05</v>
      </c>
      <c r="J845" s="11">
        <v>0</v>
      </c>
      <c r="K845">
        <v>1</v>
      </c>
    </row>
    <row r="846" spans="1:11" x14ac:dyDescent="0.25">
      <c r="A846" s="9" t="s">
        <v>52</v>
      </c>
      <c r="B846" s="9" t="s">
        <v>23</v>
      </c>
      <c r="C846" s="10">
        <v>46007</v>
      </c>
      <c r="D846" s="10">
        <v>46007</v>
      </c>
      <c r="E846" s="9" t="s">
        <v>1256</v>
      </c>
      <c r="F846" s="9" t="s">
        <v>32</v>
      </c>
      <c r="G846" s="9" t="s">
        <v>211</v>
      </c>
      <c r="H846" s="11">
        <v>676.73</v>
      </c>
      <c r="I846" s="11">
        <v>676.73</v>
      </c>
      <c r="J846" s="11">
        <v>0</v>
      </c>
      <c r="K846">
        <v>1</v>
      </c>
    </row>
    <row r="847" spans="1:11" x14ac:dyDescent="0.25">
      <c r="A847" s="9" t="s">
        <v>52</v>
      </c>
      <c r="B847" s="9" t="s">
        <v>23</v>
      </c>
      <c r="C847" s="10">
        <v>46007</v>
      </c>
      <c r="D847" s="10">
        <v>46007</v>
      </c>
      <c r="E847" s="9" t="s">
        <v>1257</v>
      </c>
      <c r="F847" s="9" t="s">
        <v>32</v>
      </c>
      <c r="G847" s="9" t="s">
        <v>307</v>
      </c>
      <c r="H847" s="11">
        <v>5058.8</v>
      </c>
      <c r="I847" s="11">
        <v>5058.8</v>
      </c>
      <c r="J847" s="11">
        <v>0</v>
      </c>
      <c r="K847">
        <v>1</v>
      </c>
    </row>
    <row r="848" spans="1:11" x14ac:dyDescent="0.25">
      <c r="A848" s="9" t="s">
        <v>52</v>
      </c>
      <c r="B848" s="9" t="s">
        <v>23</v>
      </c>
      <c r="C848" s="10">
        <v>46007</v>
      </c>
      <c r="D848" s="10">
        <v>46007</v>
      </c>
      <c r="E848" s="9" t="s">
        <v>1258</v>
      </c>
      <c r="F848" s="9" t="s">
        <v>32</v>
      </c>
      <c r="G848" s="9" t="s">
        <v>239</v>
      </c>
      <c r="H848" s="11">
        <v>5858.4</v>
      </c>
      <c r="I848" s="11">
        <v>5858.4</v>
      </c>
      <c r="J848" s="11">
        <v>0</v>
      </c>
      <c r="K848">
        <v>1</v>
      </c>
    </row>
    <row r="849" spans="1:11" x14ac:dyDescent="0.25">
      <c r="A849" s="9" t="s">
        <v>52</v>
      </c>
      <c r="B849" s="9" t="s">
        <v>23</v>
      </c>
      <c r="C849" s="10">
        <v>46007</v>
      </c>
      <c r="D849" s="10">
        <v>46007</v>
      </c>
      <c r="E849" s="9" t="s">
        <v>1259</v>
      </c>
      <c r="F849" s="9" t="s">
        <v>32</v>
      </c>
      <c r="G849" s="9" t="s">
        <v>133</v>
      </c>
      <c r="H849" s="11">
        <v>2868.44</v>
      </c>
      <c r="I849" s="11">
        <v>2868.44</v>
      </c>
      <c r="J849" s="11">
        <v>0</v>
      </c>
      <c r="K849">
        <v>1</v>
      </c>
    </row>
    <row r="850" spans="1:11" x14ac:dyDescent="0.25">
      <c r="A850" s="9" t="s">
        <v>52</v>
      </c>
      <c r="B850" s="9" t="s">
        <v>23</v>
      </c>
      <c r="C850" s="10">
        <v>46007</v>
      </c>
      <c r="D850" s="10">
        <v>46007</v>
      </c>
      <c r="E850" s="9" t="s">
        <v>1260</v>
      </c>
      <c r="F850" s="9" t="s">
        <v>32</v>
      </c>
      <c r="G850" s="9" t="s">
        <v>309</v>
      </c>
      <c r="H850" s="11">
        <v>4421.12</v>
      </c>
      <c r="I850" s="11">
        <v>4421.12</v>
      </c>
      <c r="J850" s="11">
        <v>0</v>
      </c>
      <c r="K850">
        <v>1</v>
      </c>
    </row>
    <row r="851" spans="1:11" x14ac:dyDescent="0.25">
      <c r="A851" s="9" t="s">
        <v>52</v>
      </c>
      <c r="B851" s="9" t="s">
        <v>23</v>
      </c>
      <c r="C851" s="10">
        <v>46007</v>
      </c>
      <c r="D851" s="10">
        <v>46007</v>
      </c>
      <c r="E851" s="9" t="s">
        <v>1261</v>
      </c>
      <c r="F851" s="9" t="s">
        <v>32</v>
      </c>
      <c r="G851" s="9" t="s">
        <v>353</v>
      </c>
      <c r="H851" s="11">
        <v>975.4</v>
      </c>
      <c r="I851" s="11">
        <v>975.4</v>
      </c>
      <c r="J851" s="11">
        <v>0</v>
      </c>
      <c r="K851">
        <v>1</v>
      </c>
    </row>
    <row r="852" spans="1:11" x14ac:dyDescent="0.25">
      <c r="A852" s="9" t="s">
        <v>52</v>
      </c>
      <c r="B852" s="9" t="s">
        <v>23</v>
      </c>
      <c r="C852" s="10">
        <v>46007</v>
      </c>
      <c r="D852" s="10">
        <v>46007</v>
      </c>
      <c r="E852" s="9" t="s">
        <v>1262</v>
      </c>
      <c r="F852" s="9" t="s">
        <v>32</v>
      </c>
      <c r="G852" s="9" t="s">
        <v>464</v>
      </c>
      <c r="H852" s="11">
        <v>5551.63</v>
      </c>
      <c r="I852" s="11">
        <v>5551.63</v>
      </c>
      <c r="J852" s="11">
        <v>0</v>
      </c>
      <c r="K852">
        <v>1</v>
      </c>
    </row>
    <row r="853" spans="1:11" x14ac:dyDescent="0.25">
      <c r="A853" s="9" t="s">
        <v>52</v>
      </c>
      <c r="B853" s="9" t="s">
        <v>23</v>
      </c>
      <c r="C853" s="10">
        <v>46007</v>
      </c>
      <c r="D853" s="10">
        <v>46007</v>
      </c>
      <c r="E853" s="9" t="s">
        <v>1263</v>
      </c>
      <c r="F853" s="9" t="s">
        <v>32</v>
      </c>
      <c r="G853" s="9" t="s">
        <v>770</v>
      </c>
      <c r="H853" s="11">
        <v>1340.5</v>
      </c>
      <c r="I853" s="11">
        <v>1340.5</v>
      </c>
      <c r="J853" s="11">
        <v>0</v>
      </c>
      <c r="K853">
        <v>1</v>
      </c>
    </row>
    <row r="854" spans="1:11" x14ac:dyDescent="0.25">
      <c r="A854" s="9" t="s">
        <v>52</v>
      </c>
      <c r="B854" s="9" t="s">
        <v>23</v>
      </c>
      <c r="C854" s="10">
        <v>46007</v>
      </c>
      <c r="D854" s="10">
        <v>46007</v>
      </c>
      <c r="E854" s="9" t="s">
        <v>1264</v>
      </c>
      <c r="F854" s="9" t="s">
        <v>32</v>
      </c>
      <c r="G854" s="9" t="s">
        <v>398</v>
      </c>
      <c r="H854" s="11">
        <v>11376.96</v>
      </c>
      <c r="I854" s="11">
        <v>11376.96</v>
      </c>
      <c r="J854" s="11">
        <v>0</v>
      </c>
      <c r="K854">
        <v>1</v>
      </c>
    </row>
    <row r="855" spans="1:11" x14ac:dyDescent="0.25">
      <c r="A855" s="9" t="s">
        <v>52</v>
      </c>
      <c r="B855" s="9" t="s">
        <v>23</v>
      </c>
      <c r="C855" s="10">
        <v>46007</v>
      </c>
      <c r="D855" s="10">
        <v>46007</v>
      </c>
      <c r="E855" s="9" t="s">
        <v>1265</v>
      </c>
      <c r="F855" s="9" t="s">
        <v>32</v>
      </c>
      <c r="G855" s="9" t="s">
        <v>634</v>
      </c>
      <c r="H855" s="11">
        <v>3365.89</v>
      </c>
      <c r="I855" s="11">
        <v>3365.89</v>
      </c>
      <c r="J855" s="11">
        <v>0</v>
      </c>
      <c r="K855">
        <v>1</v>
      </c>
    </row>
    <row r="856" spans="1:11" x14ac:dyDescent="0.25">
      <c r="A856" s="9" t="s">
        <v>52</v>
      </c>
      <c r="B856" s="9" t="s">
        <v>23</v>
      </c>
      <c r="C856" s="10">
        <v>46007</v>
      </c>
      <c r="D856" s="10">
        <v>46007</v>
      </c>
      <c r="E856" s="9" t="s">
        <v>1266</v>
      </c>
      <c r="F856" s="9" t="s">
        <v>32</v>
      </c>
      <c r="G856" s="9" t="s">
        <v>1267</v>
      </c>
      <c r="H856" s="11">
        <v>7124.51</v>
      </c>
      <c r="I856" s="11">
        <v>7124.51</v>
      </c>
      <c r="J856" s="11">
        <v>0</v>
      </c>
      <c r="K856">
        <v>1</v>
      </c>
    </row>
    <row r="857" spans="1:11" x14ac:dyDescent="0.25">
      <c r="A857" s="9" t="s">
        <v>52</v>
      </c>
      <c r="B857" s="9" t="s">
        <v>23</v>
      </c>
      <c r="C857" s="10">
        <v>46007</v>
      </c>
      <c r="D857" s="10">
        <v>46007</v>
      </c>
      <c r="E857" s="9" t="s">
        <v>1268</v>
      </c>
      <c r="F857" s="9" t="s">
        <v>32</v>
      </c>
      <c r="G857" s="9" t="s">
        <v>474</v>
      </c>
      <c r="H857" s="11">
        <v>1967.68</v>
      </c>
      <c r="I857" s="11">
        <v>1967.68</v>
      </c>
      <c r="J857" s="11">
        <v>0</v>
      </c>
      <c r="K857">
        <v>1</v>
      </c>
    </row>
    <row r="858" spans="1:11" x14ac:dyDescent="0.25">
      <c r="A858" s="9" t="s">
        <v>52</v>
      </c>
      <c r="B858" s="9" t="s">
        <v>23</v>
      </c>
      <c r="C858" s="10">
        <v>46007</v>
      </c>
      <c r="D858" s="10">
        <v>46007</v>
      </c>
      <c r="E858" s="9" t="s">
        <v>1269</v>
      </c>
      <c r="F858" s="9" t="s">
        <v>32</v>
      </c>
      <c r="G858" s="9" t="s">
        <v>213</v>
      </c>
      <c r="H858" s="11">
        <v>1132.08</v>
      </c>
      <c r="I858" s="11">
        <v>1132.08</v>
      </c>
      <c r="J858" s="11">
        <v>0</v>
      </c>
      <c r="K858">
        <v>1</v>
      </c>
    </row>
    <row r="859" spans="1:11" x14ac:dyDescent="0.25">
      <c r="A859" s="9" t="s">
        <v>52</v>
      </c>
      <c r="B859" s="9" t="s">
        <v>23</v>
      </c>
      <c r="C859" s="10">
        <v>46007</v>
      </c>
      <c r="D859" s="10">
        <v>46007</v>
      </c>
      <c r="E859" s="9" t="s">
        <v>1270</v>
      </c>
      <c r="F859" s="9" t="s">
        <v>32</v>
      </c>
      <c r="G859" s="9" t="s">
        <v>847</v>
      </c>
      <c r="H859" s="11">
        <v>1475.96</v>
      </c>
      <c r="I859" s="11">
        <v>1475.96</v>
      </c>
      <c r="J859" s="11">
        <v>0</v>
      </c>
      <c r="K859">
        <v>1</v>
      </c>
    </row>
    <row r="860" spans="1:11" x14ac:dyDescent="0.25">
      <c r="A860" s="9" t="s">
        <v>52</v>
      </c>
      <c r="B860" s="9" t="s">
        <v>23</v>
      </c>
      <c r="C860" s="10">
        <v>46007</v>
      </c>
      <c r="D860" s="10">
        <v>46007</v>
      </c>
      <c r="E860" s="9" t="s">
        <v>1271</v>
      </c>
      <c r="F860" s="9" t="s">
        <v>32</v>
      </c>
      <c r="G860" s="9" t="s">
        <v>343</v>
      </c>
      <c r="H860" s="11">
        <v>1448.12</v>
      </c>
      <c r="I860" s="11">
        <v>1448.12</v>
      </c>
      <c r="J860" s="11">
        <v>0</v>
      </c>
      <c r="K860">
        <v>1</v>
      </c>
    </row>
    <row r="861" spans="1:11" x14ac:dyDescent="0.25">
      <c r="A861" s="9" t="s">
        <v>52</v>
      </c>
      <c r="B861" s="9" t="s">
        <v>23</v>
      </c>
      <c r="C861" s="10">
        <v>46007</v>
      </c>
      <c r="D861" s="10">
        <v>46007</v>
      </c>
      <c r="E861" s="9" t="s">
        <v>1272</v>
      </c>
      <c r="F861" s="9" t="s">
        <v>32</v>
      </c>
      <c r="G861" s="9" t="s">
        <v>420</v>
      </c>
      <c r="H861" s="11">
        <v>1420.57</v>
      </c>
      <c r="I861" s="11">
        <v>1420.57</v>
      </c>
      <c r="J861" s="11">
        <v>0</v>
      </c>
      <c r="K861">
        <v>1</v>
      </c>
    </row>
    <row r="862" spans="1:11" x14ac:dyDescent="0.25">
      <c r="A862" s="9" t="s">
        <v>52</v>
      </c>
      <c r="B862" s="9" t="s">
        <v>23</v>
      </c>
      <c r="C862" s="10">
        <v>46007</v>
      </c>
      <c r="D862" s="10">
        <v>46007</v>
      </c>
      <c r="E862" s="9" t="s">
        <v>1273</v>
      </c>
      <c r="F862" s="9" t="s">
        <v>32</v>
      </c>
      <c r="G862" s="9" t="s">
        <v>312</v>
      </c>
      <c r="H862" s="11">
        <v>2308.13</v>
      </c>
      <c r="I862" s="11">
        <v>2308.13</v>
      </c>
      <c r="J862" s="11">
        <v>0</v>
      </c>
      <c r="K862">
        <v>1</v>
      </c>
    </row>
    <row r="863" spans="1:11" x14ac:dyDescent="0.25">
      <c r="A863" s="9" t="s">
        <v>52</v>
      </c>
      <c r="B863" s="9" t="s">
        <v>23</v>
      </c>
      <c r="C863" s="10">
        <v>46007</v>
      </c>
      <c r="D863" s="10">
        <v>46007</v>
      </c>
      <c r="E863" s="9" t="s">
        <v>1274</v>
      </c>
      <c r="F863" s="9" t="s">
        <v>32</v>
      </c>
      <c r="G863" s="9" t="s">
        <v>133</v>
      </c>
      <c r="H863" s="11">
        <v>4252.6099999999997</v>
      </c>
      <c r="I863" s="11">
        <v>4252.6099999999997</v>
      </c>
      <c r="J863" s="11">
        <v>0</v>
      </c>
      <c r="K863">
        <v>1</v>
      </c>
    </row>
    <row r="864" spans="1:11" x14ac:dyDescent="0.25">
      <c r="A864" s="9" t="s">
        <v>52</v>
      </c>
      <c r="B864" s="9" t="s">
        <v>23</v>
      </c>
      <c r="C864" s="10">
        <v>46007</v>
      </c>
      <c r="D864" s="10">
        <v>46007</v>
      </c>
      <c r="E864" s="9" t="s">
        <v>1275</v>
      </c>
      <c r="F864" s="9" t="s">
        <v>32</v>
      </c>
      <c r="G864" s="9" t="s">
        <v>190</v>
      </c>
      <c r="H864" s="11">
        <v>1132.08</v>
      </c>
      <c r="I864" s="11">
        <v>1132.08</v>
      </c>
      <c r="J864" s="11">
        <v>0</v>
      </c>
      <c r="K864">
        <v>1</v>
      </c>
    </row>
    <row r="865" spans="1:11" x14ac:dyDescent="0.25">
      <c r="A865" s="9" t="s">
        <v>52</v>
      </c>
      <c r="B865" s="9" t="s">
        <v>23</v>
      </c>
      <c r="C865" s="10">
        <v>46007</v>
      </c>
      <c r="D865" s="10">
        <v>46007</v>
      </c>
      <c r="E865" s="9" t="s">
        <v>1276</v>
      </c>
      <c r="F865" s="9" t="s">
        <v>32</v>
      </c>
      <c r="G865" s="9" t="s">
        <v>259</v>
      </c>
      <c r="H865" s="11">
        <v>1477.92</v>
      </c>
      <c r="I865" s="11">
        <v>1477.92</v>
      </c>
      <c r="J865" s="11">
        <v>0</v>
      </c>
      <c r="K865">
        <v>1</v>
      </c>
    </row>
    <row r="866" spans="1:11" x14ac:dyDescent="0.25">
      <c r="A866" s="9" t="s">
        <v>52</v>
      </c>
      <c r="B866" s="9" t="s">
        <v>23</v>
      </c>
      <c r="C866" s="10">
        <v>46007</v>
      </c>
      <c r="D866" s="10">
        <v>46007</v>
      </c>
      <c r="E866" s="9" t="s">
        <v>1277</v>
      </c>
      <c r="F866" s="9" t="s">
        <v>32</v>
      </c>
      <c r="G866" s="9" t="s">
        <v>228</v>
      </c>
      <c r="H866" s="11">
        <v>12629.96</v>
      </c>
      <c r="I866" s="11">
        <v>12629.96</v>
      </c>
      <c r="J866" s="11">
        <v>0</v>
      </c>
      <c r="K866">
        <v>1</v>
      </c>
    </row>
    <row r="867" spans="1:11" x14ac:dyDescent="0.25">
      <c r="A867" s="9" t="s">
        <v>52</v>
      </c>
      <c r="B867" s="9" t="s">
        <v>23</v>
      </c>
      <c r="C867" s="10">
        <v>46007</v>
      </c>
      <c r="D867" s="10">
        <v>46007</v>
      </c>
      <c r="E867" s="9" t="s">
        <v>1278</v>
      </c>
      <c r="F867" s="9" t="s">
        <v>32</v>
      </c>
      <c r="G867" s="9" t="s">
        <v>256</v>
      </c>
      <c r="H867" s="11">
        <v>6336.79</v>
      </c>
      <c r="I867" s="11">
        <v>6336.79</v>
      </c>
      <c r="J867" s="11">
        <v>0</v>
      </c>
      <c r="K867">
        <v>1</v>
      </c>
    </row>
    <row r="868" spans="1:11" x14ac:dyDescent="0.25">
      <c r="A868" s="9" t="s">
        <v>52</v>
      </c>
      <c r="B868" s="9" t="s">
        <v>23</v>
      </c>
      <c r="C868" s="10">
        <v>46007</v>
      </c>
      <c r="D868" s="10">
        <v>46007</v>
      </c>
      <c r="E868" s="9" t="s">
        <v>1279</v>
      </c>
      <c r="F868" s="9" t="s">
        <v>32</v>
      </c>
      <c r="G868" s="9" t="s">
        <v>279</v>
      </c>
      <c r="H868" s="11">
        <v>3019.76</v>
      </c>
      <c r="I868" s="11">
        <v>3019.76</v>
      </c>
      <c r="J868" s="11">
        <v>0</v>
      </c>
      <c r="K868">
        <v>1</v>
      </c>
    </row>
    <row r="869" spans="1:11" x14ac:dyDescent="0.25">
      <c r="A869" s="9" t="s">
        <v>52</v>
      </c>
      <c r="B869" s="9" t="s">
        <v>23</v>
      </c>
      <c r="C869" s="10">
        <v>46007</v>
      </c>
      <c r="D869" s="10">
        <v>46007</v>
      </c>
      <c r="E869" s="9" t="s">
        <v>1280</v>
      </c>
      <c r="F869" s="9" t="s">
        <v>32</v>
      </c>
      <c r="G869" s="9" t="s">
        <v>78</v>
      </c>
      <c r="H869" s="11">
        <v>1258.26</v>
      </c>
      <c r="I869" s="11">
        <v>1258.26</v>
      </c>
      <c r="J869" s="11">
        <v>0</v>
      </c>
      <c r="K869">
        <v>1</v>
      </c>
    </row>
    <row r="870" spans="1:11" x14ac:dyDescent="0.25">
      <c r="A870" s="9" t="s">
        <v>52</v>
      </c>
      <c r="B870" s="9" t="s">
        <v>23</v>
      </c>
      <c r="C870" s="10">
        <v>46007</v>
      </c>
      <c r="D870" s="10">
        <v>46007</v>
      </c>
      <c r="E870" s="9" t="s">
        <v>1281</v>
      </c>
      <c r="F870" s="9" t="s">
        <v>141</v>
      </c>
      <c r="G870" s="9" t="s">
        <v>1282</v>
      </c>
      <c r="H870" s="11">
        <v>-11021.84</v>
      </c>
      <c r="I870" s="11">
        <v>-11021.84</v>
      </c>
      <c r="J870" s="11">
        <v>0</v>
      </c>
      <c r="K870">
        <v>1</v>
      </c>
    </row>
    <row r="871" spans="1:11" x14ac:dyDescent="0.25">
      <c r="A871" s="9" t="s">
        <v>52</v>
      </c>
      <c r="B871" s="9" t="s">
        <v>23</v>
      </c>
      <c r="C871" s="10">
        <v>46008</v>
      </c>
      <c r="D871" s="10">
        <v>46008</v>
      </c>
      <c r="E871" s="9" t="s">
        <v>1283</v>
      </c>
      <c r="F871" s="9" t="s">
        <v>32</v>
      </c>
      <c r="G871" s="9" t="s">
        <v>586</v>
      </c>
      <c r="H871" s="11">
        <v>780.61</v>
      </c>
      <c r="I871" s="11">
        <v>780.61</v>
      </c>
      <c r="J871" s="11">
        <v>0</v>
      </c>
      <c r="K871">
        <v>1</v>
      </c>
    </row>
    <row r="872" spans="1:11" x14ac:dyDescent="0.25">
      <c r="A872" s="9" t="s">
        <v>52</v>
      </c>
      <c r="B872" s="9" t="s">
        <v>23</v>
      </c>
      <c r="C872" s="10">
        <v>46008</v>
      </c>
      <c r="D872" s="10">
        <v>46008</v>
      </c>
      <c r="E872" s="9" t="s">
        <v>1284</v>
      </c>
      <c r="F872" s="9" t="s">
        <v>32</v>
      </c>
      <c r="G872" s="9" t="s">
        <v>655</v>
      </c>
      <c r="H872" s="11">
        <v>2568.35</v>
      </c>
      <c r="I872" s="11">
        <v>2568.35</v>
      </c>
      <c r="J872" s="11">
        <v>0</v>
      </c>
      <c r="K872">
        <v>1</v>
      </c>
    </row>
    <row r="873" spans="1:11" x14ac:dyDescent="0.25">
      <c r="A873" s="9" t="s">
        <v>52</v>
      </c>
      <c r="B873" s="9" t="s">
        <v>23</v>
      </c>
      <c r="C873" s="10">
        <v>46008</v>
      </c>
      <c r="D873" s="10">
        <v>46008</v>
      </c>
      <c r="E873" s="9" t="s">
        <v>1285</v>
      </c>
      <c r="F873" s="9" t="s">
        <v>32</v>
      </c>
      <c r="G873" s="9" t="s">
        <v>279</v>
      </c>
      <c r="H873" s="11">
        <v>9291.2099999999991</v>
      </c>
      <c r="I873" s="11">
        <v>9291.2099999999991</v>
      </c>
      <c r="J873" s="11">
        <v>0</v>
      </c>
      <c r="K873">
        <v>1</v>
      </c>
    </row>
    <row r="874" spans="1:11" x14ac:dyDescent="0.25">
      <c r="A874" s="9" t="s">
        <v>52</v>
      </c>
      <c r="B874" s="9" t="s">
        <v>23</v>
      </c>
      <c r="C874" s="10">
        <v>46008</v>
      </c>
      <c r="D874" s="10">
        <v>46008</v>
      </c>
      <c r="E874" s="9" t="s">
        <v>1286</v>
      </c>
      <c r="F874" s="9" t="s">
        <v>32</v>
      </c>
      <c r="G874" s="9" t="s">
        <v>116</v>
      </c>
      <c r="H874" s="11">
        <v>6953.97</v>
      </c>
      <c r="I874" s="11">
        <v>6953.97</v>
      </c>
      <c r="J874" s="11">
        <v>0</v>
      </c>
      <c r="K874">
        <v>1</v>
      </c>
    </row>
    <row r="875" spans="1:11" x14ac:dyDescent="0.25">
      <c r="A875" s="9" t="s">
        <v>52</v>
      </c>
      <c r="B875" s="9" t="s">
        <v>23</v>
      </c>
      <c r="C875" s="10">
        <v>46008</v>
      </c>
      <c r="D875" s="10">
        <v>46008</v>
      </c>
      <c r="E875" s="9" t="s">
        <v>1287</v>
      </c>
      <c r="F875" s="9" t="s">
        <v>32</v>
      </c>
      <c r="G875" s="9" t="s">
        <v>402</v>
      </c>
      <c r="H875" s="11">
        <v>3226.32</v>
      </c>
      <c r="I875" s="11">
        <v>3226.32</v>
      </c>
      <c r="J875" s="11">
        <v>0</v>
      </c>
      <c r="K875">
        <v>1</v>
      </c>
    </row>
    <row r="876" spans="1:11" x14ac:dyDescent="0.25">
      <c r="A876" s="9" t="s">
        <v>52</v>
      </c>
      <c r="B876" s="9" t="s">
        <v>23</v>
      </c>
      <c r="C876" s="10">
        <v>46008</v>
      </c>
      <c r="D876" s="10">
        <v>46008</v>
      </c>
      <c r="E876" s="9" t="s">
        <v>1288</v>
      </c>
      <c r="F876" s="9" t="s">
        <v>32</v>
      </c>
      <c r="G876" s="9" t="s">
        <v>259</v>
      </c>
      <c r="H876" s="11">
        <v>6409.06</v>
      </c>
      <c r="I876" s="11">
        <v>6409.06</v>
      </c>
      <c r="J876" s="11">
        <v>0</v>
      </c>
      <c r="K876">
        <v>1</v>
      </c>
    </row>
    <row r="877" spans="1:11" x14ac:dyDescent="0.25">
      <c r="A877" s="9" t="s">
        <v>52</v>
      </c>
      <c r="B877" s="9" t="s">
        <v>23</v>
      </c>
      <c r="C877" s="10">
        <v>46008</v>
      </c>
      <c r="D877" s="10">
        <v>46008</v>
      </c>
      <c r="E877" s="9" t="s">
        <v>1289</v>
      </c>
      <c r="F877" s="9" t="s">
        <v>32</v>
      </c>
      <c r="G877" s="9" t="s">
        <v>266</v>
      </c>
      <c r="H877" s="11">
        <v>17823.72</v>
      </c>
      <c r="I877" s="11">
        <v>17823.72</v>
      </c>
      <c r="J877" s="11">
        <v>0</v>
      </c>
      <c r="K877">
        <v>1</v>
      </c>
    </row>
    <row r="878" spans="1:11" x14ac:dyDescent="0.25">
      <c r="A878" s="9" t="s">
        <v>52</v>
      </c>
      <c r="B878" s="9" t="s">
        <v>23</v>
      </c>
      <c r="C878" s="10">
        <v>46008</v>
      </c>
      <c r="D878" s="10">
        <v>46008</v>
      </c>
      <c r="E878" s="9" t="s">
        <v>1290</v>
      </c>
      <c r="F878" s="9" t="s">
        <v>32</v>
      </c>
      <c r="G878" s="9" t="s">
        <v>1219</v>
      </c>
      <c r="H878" s="11">
        <v>1025.3499999999999</v>
      </c>
      <c r="I878" s="11">
        <v>1025.3499999999999</v>
      </c>
      <c r="J878" s="11">
        <v>0</v>
      </c>
      <c r="K878">
        <v>1</v>
      </c>
    </row>
    <row r="879" spans="1:11" x14ac:dyDescent="0.25">
      <c r="A879" s="9" t="s">
        <v>52</v>
      </c>
      <c r="B879" s="9" t="s">
        <v>23</v>
      </c>
      <c r="C879" s="10">
        <v>46008</v>
      </c>
      <c r="D879" s="10">
        <v>46008</v>
      </c>
      <c r="E879" s="9" t="s">
        <v>1291</v>
      </c>
      <c r="F879" s="9" t="s">
        <v>32</v>
      </c>
      <c r="G879" s="9" t="s">
        <v>1026</v>
      </c>
      <c r="H879" s="11">
        <v>4804.59</v>
      </c>
      <c r="I879" s="11">
        <v>4804.59</v>
      </c>
      <c r="J879" s="11">
        <v>0</v>
      </c>
      <c r="K879">
        <v>1</v>
      </c>
    </row>
    <row r="880" spans="1:11" x14ac:dyDescent="0.25">
      <c r="A880" s="9" t="s">
        <v>52</v>
      </c>
      <c r="B880" s="9" t="s">
        <v>23</v>
      </c>
      <c r="C880" s="10">
        <v>46008</v>
      </c>
      <c r="D880" s="10">
        <v>46008</v>
      </c>
      <c r="E880" s="9" t="s">
        <v>1292</v>
      </c>
      <c r="F880" s="9" t="s">
        <v>32</v>
      </c>
      <c r="G880" s="9" t="s">
        <v>373</v>
      </c>
      <c r="H880" s="11">
        <v>23202.65</v>
      </c>
      <c r="I880" s="11">
        <v>23202.65</v>
      </c>
      <c r="J880" s="11">
        <v>0</v>
      </c>
      <c r="K880">
        <v>1</v>
      </c>
    </row>
    <row r="881" spans="1:11" x14ac:dyDescent="0.25">
      <c r="A881" s="9" t="s">
        <v>52</v>
      </c>
      <c r="B881" s="9" t="s">
        <v>23</v>
      </c>
      <c r="C881" s="10">
        <v>46008</v>
      </c>
      <c r="D881" s="10">
        <v>46008</v>
      </c>
      <c r="E881" s="9" t="s">
        <v>1293</v>
      </c>
      <c r="F881" s="9" t="s">
        <v>32</v>
      </c>
      <c r="G881" s="9" t="s">
        <v>235</v>
      </c>
      <c r="H881" s="11">
        <v>4342.07</v>
      </c>
      <c r="I881" s="11">
        <v>4342.07</v>
      </c>
      <c r="J881" s="11">
        <v>0</v>
      </c>
      <c r="K881">
        <v>1</v>
      </c>
    </row>
    <row r="882" spans="1:11" x14ac:dyDescent="0.25">
      <c r="A882" s="9" t="s">
        <v>52</v>
      </c>
      <c r="B882" s="9" t="s">
        <v>23</v>
      </c>
      <c r="C882" s="10">
        <v>46008</v>
      </c>
      <c r="D882" s="10">
        <v>46008</v>
      </c>
      <c r="E882" s="9" t="s">
        <v>1294</v>
      </c>
      <c r="F882" s="9" t="s">
        <v>32</v>
      </c>
      <c r="G882" s="9" t="s">
        <v>464</v>
      </c>
      <c r="H882" s="11">
        <v>2561.5700000000002</v>
      </c>
      <c r="I882" s="11">
        <v>2561.5700000000002</v>
      </c>
      <c r="J882" s="11">
        <v>0</v>
      </c>
      <c r="K882">
        <v>1</v>
      </c>
    </row>
    <row r="883" spans="1:11" x14ac:dyDescent="0.25">
      <c r="A883" s="9" t="s">
        <v>52</v>
      </c>
      <c r="B883" s="9" t="s">
        <v>23</v>
      </c>
      <c r="C883" s="10">
        <v>46008</v>
      </c>
      <c r="D883" s="10">
        <v>46008</v>
      </c>
      <c r="E883" s="9" t="s">
        <v>1295</v>
      </c>
      <c r="F883" s="9" t="s">
        <v>32</v>
      </c>
      <c r="G883" s="9" t="s">
        <v>33</v>
      </c>
      <c r="H883" s="11">
        <v>20959.04</v>
      </c>
      <c r="I883" s="11">
        <v>20959.04</v>
      </c>
      <c r="J883" s="11">
        <v>0</v>
      </c>
      <c r="K883">
        <v>1</v>
      </c>
    </row>
    <row r="884" spans="1:11" x14ac:dyDescent="0.25">
      <c r="A884" s="9" t="s">
        <v>52</v>
      </c>
      <c r="B884" s="9" t="s">
        <v>23</v>
      </c>
      <c r="C884" s="10">
        <v>46008</v>
      </c>
      <c r="D884" s="10">
        <v>46008</v>
      </c>
      <c r="E884" s="9" t="s">
        <v>1296</v>
      </c>
      <c r="F884" s="9" t="s">
        <v>32</v>
      </c>
      <c r="G884" s="9" t="s">
        <v>700</v>
      </c>
      <c r="H884" s="11">
        <v>4260.04</v>
      </c>
      <c r="I884" s="11">
        <v>4260.04</v>
      </c>
      <c r="J884" s="11">
        <v>0</v>
      </c>
      <c r="K884">
        <v>1</v>
      </c>
    </row>
    <row r="885" spans="1:11" x14ac:dyDescent="0.25">
      <c r="A885" s="9" t="s">
        <v>52</v>
      </c>
      <c r="B885" s="9" t="s">
        <v>23</v>
      </c>
      <c r="C885" s="10">
        <v>46008</v>
      </c>
      <c r="D885" s="10">
        <v>46008</v>
      </c>
      <c r="E885" s="9" t="s">
        <v>1297</v>
      </c>
      <c r="F885" s="9" t="s">
        <v>32</v>
      </c>
      <c r="G885" s="9" t="s">
        <v>204</v>
      </c>
      <c r="H885" s="11">
        <v>897.17</v>
      </c>
      <c r="I885" s="11">
        <v>897.17</v>
      </c>
      <c r="J885" s="11">
        <v>0</v>
      </c>
      <c r="K885">
        <v>1</v>
      </c>
    </row>
    <row r="886" spans="1:11" x14ac:dyDescent="0.25">
      <c r="A886" s="9" t="s">
        <v>52</v>
      </c>
      <c r="B886" s="9" t="s">
        <v>23</v>
      </c>
      <c r="C886" s="10">
        <v>46008</v>
      </c>
      <c r="D886" s="10">
        <v>46008</v>
      </c>
      <c r="E886" s="9" t="s">
        <v>1298</v>
      </c>
      <c r="F886" s="9" t="s">
        <v>32</v>
      </c>
      <c r="G886" s="9" t="s">
        <v>186</v>
      </c>
      <c r="H886" s="11">
        <v>630.55999999999995</v>
      </c>
      <c r="I886" s="11">
        <v>630.55999999999995</v>
      </c>
      <c r="J886" s="11">
        <v>0</v>
      </c>
      <c r="K886">
        <v>1</v>
      </c>
    </row>
    <row r="887" spans="1:11" x14ac:dyDescent="0.25">
      <c r="A887" s="9" t="s">
        <v>52</v>
      </c>
      <c r="B887" s="9" t="s">
        <v>23</v>
      </c>
      <c r="C887" s="10">
        <v>46008</v>
      </c>
      <c r="D887" s="10">
        <v>46008</v>
      </c>
      <c r="E887" s="9" t="s">
        <v>1299</v>
      </c>
      <c r="F887" s="9" t="s">
        <v>32</v>
      </c>
      <c r="G887" s="9" t="s">
        <v>364</v>
      </c>
      <c r="H887" s="11">
        <v>4223.38</v>
      </c>
      <c r="I887" s="11">
        <v>4223.38</v>
      </c>
      <c r="J887" s="11">
        <v>0</v>
      </c>
      <c r="K887">
        <v>1</v>
      </c>
    </row>
    <row r="888" spans="1:11" x14ac:dyDescent="0.25">
      <c r="A888" s="9" t="s">
        <v>52</v>
      </c>
      <c r="B888" s="9" t="s">
        <v>23</v>
      </c>
      <c r="C888" s="10">
        <v>46008</v>
      </c>
      <c r="D888" s="10">
        <v>46008</v>
      </c>
      <c r="E888" s="9" t="s">
        <v>1300</v>
      </c>
      <c r="F888" s="9" t="s">
        <v>32</v>
      </c>
      <c r="G888" s="9" t="s">
        <v>243</v>
      </c>
      <c r="H888" s="11">
        <v>14192.88</v>
      </c>
      <c r="I888" s="11">
        <v>14192.88</v>
      </c>
      <c r="J888" s="11">
        <v>0</v>
      </c>
      <c r="K888">
        <v>1</v>
      </c>
    </row>
    <row r="889" spans="1:11" x14ac:dyDescent="0.25">
      <c r="A889" s="9" t="s">
        <v>52</v>
      </c>
      <c r="B889" s="9" t="s">
        <v>23</v>
      </c>
      <c r="C889" s="10">
        <v>46008</v>
      </c>
      <c r="D889" s="10">
        <v>46008</v>
      </c>
      <c r="E889" s="9" t="s">
        <v>1301</v>
      </c>
      <c r="F889" s="9" t="s">
        <v>32</v>
      </c>
      <c r="G889" s="9" t="s">
        <v>226</v>
      </c>
      <c r="H889" s="11">
        <v>9906.08</v>
      </c>
      <c r="I889" s="11">
        <v>9906.08</v>
      </c>
      <c r="J889" s="11">
        <v>0</v>
      </c>
      <c r="K889">
        <v>1</v>
      </c>
    </row>
    <row r="890" spans="1:11" x14ac:dyDescent="0.25">
      <c r="A890" s="9" t="s">
        <v>52</v>
      </c>
      <c r="B890" s="9" t="s">
        <v>23</v>
      </c>
      <c r="C890" s="10">
        <v>46008</v>
      </c>
      <c r="D890" s="10">
        <v>46008</v>
      </c>
      <c r="E890" s="9" t="s">
        <v>1302</v>
      </c>
      <c r="F890" s="9" t="s">
        <v>32</v>
      </c>
      <c r="G890" s="9" t="s">
        <v>362</v>
      </c>
      <c r="H890" s="11">
        <v>868.24</v>
      </c>
      <c r="I890" s="11">
        <v>868.24</v>
      </c>
      <c r="J890" s="11">
        <v>0</v>
      </c>
      <c r="K890">
        <v>1</v>
      </c>
    </row>
    <row r="891" spans="1:11" x14ac:dyDescent="0.25">
      <c r="A891" s="9" t="s">
        <v>52</v>
      </c>
      <c r="B891" s="9" t="s">
        <v>23</v>
      </c>
      <c r="C891" s="10">
        <v>46008</v>
      </c>
      <c r="D891" s="10">
        <v>46008</v>
      </c>
      <c r="E891" s="9" t="s">
        <v>1303</v>
      </c>
      <c r="F891" s="9" t="s">
        <v>32</v>
      </c>
      <c r="G891" s="9" t="s">
        <v>112</v>
      </c>
      <c r="H891" s="11">
        <v>474.72</v>
      </c>
      <c r="I891" s="11">
        <v>474.72</v>
      </c>
      <c r="J891" s="11">
        <v>0</v>
      </c>
      <c r="K891">
        <v>1</v>
      </c>
    </row>
    <row r="892" spans="1:11" x14ac:dyDescent="0.25">
      <c r="A892" s="9" t="s">
        <v>52</v>
      </c>
      <c r="B892" s="9" t="s">
        <v>23</v>
      </c>
      <c r="C892" s="10">
        <v>46008</v>
      </c>
      <c r="D892" s="10">
        <v>46008</v>
      </c>
      <c r="E892" s="9" t="s">
        <v>1304</v>
      </c>
      <c r="F892" s="9" t="s">
        <v>32</v>
      </c>
      <c r="G892" s="9" t="s">
        <v>386</v>
      </c>
      <c r="H892" s="11">
        <v>13523.81</v>
      </c>
      <c r="I892" s="11">
        <v>13523.81</v>
      </c>
      <c r="J892" s="11">
        <v>0</v>
      </c>
      <c r="K892">
        <v>1</v>
      </c>
    </row>
    <row r="893" spans="1:11" x14ac:dyDescent="0.25">
      <c r="A893" s="9" t="s">
        <v>52</v>
      </c>
      <c r="B893" s="9" t="s">
        <v>23</v>
      </c>
      <c r="C893" s="10">
        <v>46008</v>
      </c>
      <c r="D893" s="10">
        <v>46008</v>
      </c>
      <c r="E893" s="9" t="s">
        <v>1305</v>
      </c>
      <c r="F893" s="9" t="s">
        <v>32</v>
      </c>
      <c r="G893" s="9" t="s">
        <v>362</v>
      </c>
      <c r="H893" s="11">
        <v>1042.26</v>
      </c>
      <c r="I893" s="11">
        <v>1042.26</v>
      </c>
      <c r="J893" s="11">
        <v>0</v>
      </c>
      <c r="K893">
        <v>1</v>
      </c>
    </row>
    <row r="894" spans="1:11" x14ac:dyDescent="0.25">
      <c r="A894" s="9" t="s">
        <v>52</v>
      </c>
      <c r="B894" s="9" t="s">
        <v>23</v>
      </c>
      <c r="C894" s="10">
        <v>46008</v>
      </c>
      <c r="D894" s="10">
        <v>46008</v>
      </c>
      <c r="E894" s="9" t="s">
        <v>1306</v>
      </c>
      <c r="F894" s="9" t="s">
        <v>32</v>
      </c>
      <c r="G894" s="9" t="s">
        <v>1307</v>
      </c>
      <c r="H894" s="11">
        <v>2046.52</v>
      </c>
      <c r="I894" s="11">
        <v>2046.52</v>
      </c>
      <c r="J894" s="11">
        <v>0</v>
      </c>
      <c r="K894">
        <v>1</v>
      </c>
    </row>
    <row r="895" spans="1:11" x14ac:dyDescent="0.25">
      <c r="A895" s="9" t="s">
        <v>52</v>
      </c>
      <c r="B895" s="9" t="s">
        <v>23</v>
      </c>
      <c r="C895" s="10">
        <v>46008</v>
      </c>
      <c r="D895" s="10">
        <v>46008</v>
      </c>
      <c r="E895" s="9" t="s">
        <v>1308</v>
      </c>
      <c r="F895" s="9" t="s">
        <v>32</v>
      </c>
      <c r="G895" s="9" t="s">
        <v>630</v>
      </c>
      <c r="H895" s="11">
        <v>1956.03</v>
      </c>
      <c r="I895" s="11">
        <v>1956.03</v>
      </c>
      <c r="J895" s="11">
        <v>0</v>
      </c>
      <c r="K895">
        <v>1</v>
      </c>
    </row>
    <row r="896" spans="1:11" x14ac:dyDescent="0.25">
      <c r="A896" s="9" t="s">
        <v>52</v>
      </c>
      <c r="B896" s="9" t="s">
        <v>23</v>
      </c>
      <c r="C896" s="10">
        <v>46008</v>
      </c>
      <c r="D896" s="10">
        <v>46008</v>
      </c>
      <c r="E896" s="9" t="s">
        <v>1309</v>
      </c>
      <c r="F896" s="9" t="s">
        <v>141</v>
      </c>
      <c r="G896" s="9" t="s">
        <v>1310</v>
      </c>
      <c r="H896" s="11">
        <v>-8156.8</v>
      </c>
      <c r="I896" s="11">
        <v>-8156.8</v>
      </c>
      <c r="J896" s="11">
        <v>0</v>
      </c>
      <c r="K896">
        <v>1</v>
      </c>
    </row>
    <row r="897" spans="1:11" x14ac:dyDescent="0.25">
      <c r="A897" s="9" t="s">
        <v>52</v>
      </c>
      <c r="B897" s="9" t="s">
        <v>23</v>
      </c>
      <c r="C897" s="10">
        <v>46008</v>
      </c>
      <c r="D897" s="10">
        <v>46008</v>
      </c>
      <c r="E897" s="9" t="s">
        <v>1311</v>
      </c>
      <c r="F897" s="9" t="s">
        <v>141</v>
      </c>
      <c r="G897" s="9" t="s">
        <v>1312</v>
      </c>
      <c r="H897" s="11">
        <v>-15167.6</v>
      </c>
      <c r="I897" s="11">
        <v>-15167.6</v>
      </c>
      <c r="J897" s="11">
        <v>0</v>
      </c>
      <c r="K897">
        <v>1</v>
      </c>
    </row>
    <row r="898" spans="1:11" x14ac:dyDescent="0.25">
      <c r="A898" s="9" t="s">
        <v>52</v>
      </c>
      <c r="B898" s="9" t="s">
        <v>23</v>
      </c>
      <c r="C898" s="10">
        <v>46008</v>
      </c>
      <c r="D898" s="10">
        <v>46008</v>
      </c>
      <c r="E898" s="9" t="s">
        <v>1313</v>
      </c>
      <c r="F898" s="9" t="s">
        <v>32</v>
      </c>
      <c r="G898" s="9" t="s">
        <v>850</v>
      </c>
      <c r="H898" s="11">
        <v>1185.99</v>
      </c>
      <c r="I898" s="11">
        <v>1185.99</v>
      </c>
      <c r="J898" s="11">
        <v>0</v>
      </c>
      <c r="K898">
        <v>1</v>
      </c>
    </row>
    <row r="899" spans="1:11" x14ac:dyDescent="0.25">
      <c r="A899" s="9" t="s">
        <v>52</v>
      </c>
      <c r="B899" s="9" t="s">
        <v>23</v>
      </c>
      <c r="C899" s="10">
        <v>46008</v>
      </c>
      <c r="D899" s="10">
        <v>46008</v>
      </c>
      <c r="E899" s="9" t="s">
        <v>1314</v>
      </c>
      <c r="F899" s="9" t="s">
        <v>32</v>
      </c>
      <c r="G899" s="9" t="s">
        <v>256</v>
      </c>
      <c r="H899" s="11">
        <v>2668.14</v>
      </c>
      <c r="I899" s="11">
        <v>2668.14</v>
      </c>
      <c r="J899" s="11">
        <v>0</v>
      </c>
      <c r="K899">
        <v>1</v>
      </c>
    </row>
    <row r="900" spans="1:11" x14ac:dyDescent="0.25">
      <c r="A900" s="9" t="s">
        <v>52</v>
      </c>
      <c r="B900" s="9" t="s">
        <v>23</v>
      </c>
      <c r="C900" s="10">
        <v>46008</v>
      </c>
      <c r="D900" s="10">
        <v>46008</v>
      </c>
      <c r="E900" s="9" t="s">
        <v>1315</v>
      </c>
      <c r="F900" s="9" t="s">
        <v>32</v>
      </c>
      <c r="G900" s="9" t="s">
        <v>1316</v>
      </c>
      <c r="H900" s="11">
        <v>783.88</v>
      </c>
      <c r="I900" s="11">
        <v>783.88</v>
      </c>
      <c r="J900" s="11">
        <v>0</v>
      </c>
      <c r="K900">
        <v>1</v>
      </c>
    </row>
    <row r="901" spans="1:11" x14ac:dyDescent="0.25">
      <c r="A901" s="9" t="s">
        <v>52</v>
      </c>
      <c r="B901" s="9" t="s">
        <v>23</v>
      </c>
      <c r="C901" s="10">
        <v>46008</v>
      </c>
      <c r="D901" s="10">
        <v>46008</v>
      </c>
      <c r="E901" s="9" t="s">
        <v>1317</v>
      </c>
      <c r="F901" s="9" t="s">
        <v>32</v>
      </c>
      <c r="G901" s="9" t="s">
        <v>339</v>
      </c>
      <c r="H901" s="11">
        <v>1488.57</v>
      </c>
      <c r="I901" s="11">
        <v>1488.57</v>
      </c>
      <c r="J901" s="11">
        <v>0</v>
      </c>
      <c r="K901">
        <v>1</v>
      </c>
    </row>
    <row r="902" spans="1:11" x14ac:dyDescent="0.25">
      <c r="A902" s="9" t="s">
        <v>52</v>
      </c>
      <c r="B902" s="9" t="s">
        <v>23</v>
      </c>
      <c r="C902" s="10">
        <v>46008</v>
      </c>
      <c r="D902" s="10">
        <v>46008</v>
      </c>
      <c r="E902" s="9" t="s">
        <v>1318</v>
      </c>
      <c r="F902" s="9" t="s">
        <v>32</v>
      </c>
      <c r="G902" s="9" t="s">
        <v>956</v>
      </c>
      <c r="H902" s="11">
        <v>3751.7</v>
      </c>
      <c r="I902" s="11">
        <v>3751.7</v>
      </c>
      <c r="J902" s="11">
        <v>0</v>
      </c>
      <c r="K902">
        <v>1</v>
      </c>
    </row>
    <row r="903" spans="1:11" x14ac:dyDescent="0.25">
      <c r="A903" s="9" t="s">
        <v>52</v>
      </c>
      <c r="B903" s="9" t="s">
        <v>23</v>
      </c>
      <c r="C903" s="10">
        <v>46008</v>
      </c>
      <c r="D903" s="10">
        <v>46008</v>
      </c>
      <c r="E903" s="9" t="s">
        <v>1319</v>
      </c>
      <c r="F903" s="9" t="s">
        <v>32</v>
      </c>
      <c r="G903" s="9" t="s">
        <v>245</v>
      </c>
      <c r="H903" s="11">
        <v>3151.04</v>
      </c>
      <c r="I903" s="11">
        <v>3151.04</v>
      </c>
      <c r="J903" s="11">
        <v>0</v>
      </c>
      <c r="K903">
        <v>1</v>
      </c>
    </row>
    <row r="904" spans="1:11" x14ac:dyDescent="0.25">
      <c r="A904" s="9" t="s">
        <v>52</v>
      </c>
      <c r="B904" s="9" t="s">
        <v>23</v>
      </c>
      <c r="C904" s="10">
        <v>46008</v>
      </c>
      <c r="D904" s="10">
        <v>46008</v>
      </c>
      <c r="E904" s="9" t="s">
        <v>1320</v>
      </c>
      <c r="F904" s="9" t="s">
        <v>32</v>
      </c>
      <c r="G904" s="9" t="s">
        <v>889</v>
      </c>
      <c r="H904" s="11">
        <v>2795.18</v>
      </c>
      <c r="I904" s="11">
        <v>2795.18</v>
      </c>
      <c r="J904" s="11">
        <v>0</v>
      </c>
      <c r="K904">
        <v>1</v>
      </c>
    </row>
    <row r="905" spans="1:11" x14ac:dyDescent="0.25">
      <c r="A905" s="9" t="s">
        <v>52</v>
      </c>
      <c r="B905" s="9" t="s">
        <v>23</v>
      </c>
      <c r="C905" s="10">
        <v>46008</v>
      </c>
      <c r="D905" s="10">
        <v>46008</v>
      </c>
      <c r="E905" s="9" t="s">
        <v>1321</v>
      </c>
      <c r="F905" s="9" t="s">
        <v>141</v>
      </c>
      <c r="G905" s="9" t="s">
        <v>1322</v>
      </c>
      <c r="H905" s="11">
        <v>-4654.8100000000004</v>
      </c>
      <c r="I905" s="11">
        <v>-4654.8100000000004</v>
      </c>
      <c r="J905" s="11">
        <v>0</v>
      </c>
      <c r="K905">
        <v>1</v>
      </c>
    </row>
    <row r="906" spans="1:11" x14ac:dyDescent="0.25">
      <c r="A906" s="9" t="s">
        <v>52</v>
      </c>
      <c r="B906" s="9" t="s">
        <v>23</v>
      </c>
      <c r="C906" s="10">
        <v>46008</v>
      </c>
      <c r="D906" s="10">
        <v>46008</v>
      </c>
      <c r="E906" s="9" t="s">
        <v>1323</v>
      </c>
      <c r="F906" s="9" t="s">
        <v>32</v>
      </c>
      <c r="G906" s="9" t="s">
        <v>226</v>
      </c>
      <c r="H906" s="11">
        <v>3183.44</v>
      </c>
      <c r="I906" s="11">
        <v>3183.44</v>
      </c>
      <c r="J906" s="11">
        <v>0</v>
      </c>
      <c r="K906">
        <v>1</v>
      </c>
    </row>
    <row r="907" spans="1:11" x14ac:dyDescent="0.25">
      <c r="A907" s="9" t="s">
        <v>52</v>
      </c>
      <c r="B907" s="9" t="s">
        <v>23</v>
      </c>
      <c r="C907" s="10">
        <v>46008</v>
      </c>
      <c r="D907" s="10">
        <v>46008</v>
      </c>
      <c r="E907" s="9" t="s">
        <v>1324</v>
      </c>
      <c r="F907" s="9" t="s">
        <v>32</v>
      </c>
      <c r="G907" s="9" t="s">
        <v>1325</v>
      </c>
      <c r="H907" s="11">
        <v>2503.16</v>
      </c>
      <c r="I907" s="11">
        <v>2503.16</v>
      </c>
      <c r="J907" s="11">
        <v>0</v>
      </c>
      <c r="K907">
        <v>1</v>
      </c>
    </row>
    <row r="908" spans="1:11" x14ac:dyDescent="0.25">
      <c r="A908" s="9" t="s">
        <v>52</v>
      </c>
      <c r="B908" s="9" t="s">
        <v>23</v>
      </c>
      <c r="C908" s="10">
        <v>46008</v>
      </c>
      <c r="D908" s="10">
        <v>46008</v>
      </c>
      <c r="E908" s="9" t="s">
        <v>1326</v>
      </c>
      <c r="F908" s="9" t="s">
        <v>32</v>
      </c>
      <c r="G908" s="9" t="s">
        <v>270</v>
      </c>
      <c r="H908" s="11">
        <v>12180.21</v>
      </c>
      <c r="I908" s="11">
        <v>12180.21</v>
      </c>
      <c r="J908" s="11">
        <v>0</v>
      </c>
      <c r="K908">
        <v>1</v>
      </c>
    </row>
    <row r="909" spans="1:11" x14ac:dyDescent="0.25">
      <c r="A909" s="9" t="s">
        <v>52</v>
      </c>
      <c r="B909" s="9" t="s">
        <v>23</v>
      </c>
      <c r="C909" s="10">
        <v>46008</v>
      </c>
      <c r="D909" s="10">
        <v>46008</v>
      </c>
      <c r="E909" s="9" t="s">
        <v>1327</v>
      </c>
      <c r="F909" s="9" t="s">
        <v>32</v>
      </c>
      <c r="G909" s="9" t="s">
        <v>102</v>
      </c>
      <c r="H909" s="11">
        <v>8195.2900000000009</v>
      </c>
      <c r="I909" s="11">
        <v>8195.2900000000009</v>
      </c>
      <c r="J909" s="11">
        <v>0</v>
      </c>
      <c r="K909">
        <v>1</v>
      </c>
    </row>
    <row r="910" spans="1:11" x14ac:dyDescent="0.25">
      <c r="A910" s="9" t="s">
        <v>52</v>
      </c>
      <c r="B910" s="9" t="s">
        <v>23</v>
      </c>
      <c r="C910" s="10">
        <v>46008</v>
      </c>
      <c r="D910" s="10">
        <v>46008</v>
      </c>
      <c r="E910" s="9" t="s">
        <v>1328</v>
      </c>
      <c r="F910" s="9" t="s">
        <v>32</v>
      </c>
      <c r="G910" s="9" t="s">
        <v>577</v>
      </c>
      <c r="H910" s="11">
        <v>8017.03</v>
      </c>
      <c r="I910" s="11">
        <v>8017.03</v>
      </c>
      <c r="J910" s="11">
        <v>0</v>
      </c>
      <c r="K910">
        <v>1</v>
      </c>
    </row>
    <row r="911" spans="1:11" x14ac:dyDescent="0.25">
      <c r="A911" s="9" t="s">
        <v>52</v>
      </c>
      <c r="B911" s="9" t="s">
        <v>23</v>
      </c>
      <c r="C911" s="10">
        <v>46008</v>
      </c>
      <c r="D911" s="10">
        <v>46008</v>
      </c>
      <c r="E911" s="9" t="s">
        <v>1329</v>
      </c>
      <c r="F911" s="9" t="s">
        <v>32</v>
      </c>
      <c r="G911" s="9" t="s">
        <v>1330</v>
      </c>
      <c r="H911" s="11">
        <v>3309.02</v>
      </c>
      <c r="I911" s="11">
        <v>3309.02</v>
      </c>
      <c r="J911" s="11">
        <v>0</v>
      </c>
      <c r="K911">
        <v>1</v>
      </c>
    </row>
    <row r="912" spans="1:11" x14ac:dyDescent="0.25">
      <c r="A912" s="9" t="s">
        <v>52</v>
      </c>
      <c r="B912" s="9" t="s">
        <v>23</v>
      </c>
      <c r="C912" s="10">
        <v>46008</v>
      </c>
      <c r="D912" s="10">
        <v>46008</v>
      </c>
      <c r="E912" s="9" t="s">
        <v>1331</v>
      </c>
      <c r="F912" s="9" t="s">
        <v>32</v>
      </c>
      <c r="G912" s="9" t="s">
        <v>831</v>
      </c>
      <c r="H912" s="11">
        <v>1744.89</v>
      </c>
      <c r="I912" s="11">
        <v>1744.89</v>
      </c>
      <c r="J912" s="11">
        <v>0</v>
      </c>
      <c r="K912">
        <v>1</v>
      </c>
    </row>
    <row r="913" spans="1:11" x14ac:dyDescent="0.25">
      <c r="A913" s="9" t="s">
        <v>52</v>
      </c>
      <c r="B913" s="9" t="s">
        <v>23</v>
      </c>
      <c r="C913" s="10">
        <v>46008</v>
      </c>
      <c r="D913" s="10">
        <v>46008</v>
      </c>
      <c r="E913" s="9" t="s">
        <v>1332</v>
      </c>
      <c r="F913" s="9" t="s">
        <v>32</v>
      </c>
      <c r="G913" s="9" t="s">
        <v>700</v>
      </c>
      <c r="H913" s="11">
        <v>1704.66</v>
      </c>
      <c r="I913" s="11">
        <v>1704.66</v>
      </c>
      <c r="J913" s="11">
        <v>0</v>
      </c>
      <c r="K913">
        <v>1</v>
      </c>
    </row>
    <row r="914" spans="1:11" x14ac:dyDescent="0.25">
      <c r="A914" s="9" t="s">
        <v>52</v>
      </c>
      <c r="B914" s="9" t="s">
        <v>23</v>
      </c>
      <c r="C914" s="10">
        <v>46008</v>
      </c>
      <c r="D914" s="10">
        <v>46008</v>
      </c>
      <c r="E914" s="9" t="s">
        <v>1333</v>
      </c>
      <c r="F914" s="9" t="s">
        <v>32</v>
      </c>
      <c r="G914" s="9" t="s">
        <v>291</v>
      </c>
      <c r="H914" s="11">
        <v>14362.39</v>
      </c>
      <c r="I914" s="11">
        <v>14362.39</v>
      </c>
      <c r="J914" s="11">
        <v>0</v>
      </c>
      <c r="K914">
        <v>1</v>
      </c>
    </row>
    <row r="915" spans="1:11" x14ac:dyDescent="0.25">
      <c r="A915" s="9" t="s">
        <v>52</v>
      </c>
      <c r="B915" s="9" t="s">
        <v>23</v>
      </c>
      <c r="C915" s="10">
        <v>46008</v>
      </c>
      <c r="D915" s="10">
        <v>46008</v>
      </c>
      <c r="E915" s="9" t="s">
        <v>1334</v>
      </c>
      <c r="F915" s="9" t="s">
        <v>32</v>
      </c>
      <c r="G915" s="9" t="s">
        <v>122</v>
      </c>
      <c r="H915" s="11">
        <v>2343.7800000000002</v>
      </c>
      <c r="I915" s="11">
        <v>2343.7800000000002</v>
      </c>
      <c r="J915" s="11">
        <v>0</v>
      </c>
      <c r="K915">
        <v>1</v>
      </c>
    </row>
    <row r="916" spans="1:11" x14ac:dyDescent="0.25">
      <c r="A916" s="9" t="s">
        <v>52</v>
      </c>
      <c r="B916" s="9" t="s">
        <v>23</v>
      </c>
      <c r="C916" s="10">
        <v>46008</v>
      </c>
      <c r="D916" s="10">
        <v>46008</v>
      </c>
      <c r="E916" s="9" t="s">
        <v>1335</v>
      </c>
      <c r="F916" s="9" t="s">
        <v>32</v>
      </c>
      <c r="G916" s="9" t="s">
        <v>235</v>
      </c>
      <c r="H916" s="11">
        <v>14927.37</v>
      </c>
      <c r="I916" s="11">
        <v>14927.37</v>
      </c>
      <c r="J916" s="11">
        <v>0</v>
      </c>
      <c r="K916">
        <v>1</v>
      </c>
    </row>
    <row r="917" spans="1:11" x14ac:dyDescent="0.25">
      <c r="A917" s="9" t="s">
        <v>52</v>
      </c>
      <c r="B917" s="9" t="s">
        <v>23</v>
      </c>
      <c r="C917" s="10">
        <v>46008</v>
      </c>
      <c r="D917" s="10">
        <v>46008</v>
      </c>
      <c r="E917" s="9" t="s">
        <v>1336</v>
      </c>
      <c r="F917" s="9" t="s">
        <v>32</v>
      </c>
      <c r="G917" s="9" t="s">
        <v>1337</v>
      </c>
      <c r="H917" s="11">
        <v>1008.24</v>
      </c>
      <c r="I917" s="11">
        <v>1008.24</v>
      </c>
      <c r="J917" s="11">
        <v>0</v>
      </c>
      <c r="K917">
        <v>1</v>
      </c>
    </row>
    <row r="918" spans="1:11" x14ac:dyDescent="0.25">
      <c r="A918" s="9" t="s">
        <v>52</v>
      </c>
      <c r="B918" s="9" t="s">
        <v>23</v>
      </c>
      <c r="C918" s="10">
        <v>46009</v>
      </c>
      <c r="D918" s="10">
        <v>46009</v>
      </c>
      <c r="E918" s="9" t="s">
        <v>1338</v>
      </c>
      <c r="F918" s="9" t="s">
        <v>32</v>
      </c>
      <c r="G918" s="9" t="s">
        <v>305</v>
      </c>
      <c r="H918" s="11">
        <v>3397.56</v>
      </c>
      <c r="I918" s="11">
        <v>3397.56</v>
      </c>
      <c r="J918" s="11">
        <v>0</v>
      </c>
      <c r="K918">
        <v>1</v>
      </c>
    </row>
    <row r="919" spans="1:11" x14ac:dyDescent="0.25">
      <c r="A919" s="9" t="s">
        <v>52</v>
      </c>
      <c r="B919" s="9" t="s">
        <v>23</v>
      </c>
      <c r="C919" s="10">
        <v>46009</v>
      </c>
      <c r="D919" s="10">
        <v>46009</v>
      </c>
      <c r="E919" s="9" t="s">
        <v>1339</v>
      </c>
      <c r="F919" s="9" t="s">
        <v>32</v>
      </c>
      <c r="G919" s="9" t="s">
        <v>850</v>
      </c>
      <c r="H919" s="11">
        <v>912.07</v>
      </c>
      <c r="I919" s="11">
        <v>912.07</v>
      </c>
      <c r="J919" s="11">
        <v>0</v>
      </c>
      <c r="K919">
        <v>1</v>
      </c>
    </row>
    <row r="920" spans="1:11" x14ac:dyDescent="0.25">
      <c r="A920" s="9" t="s">
        <v>52</v>
      </c>
      <c r="B920" s="9" t="s">
        <v>23</v>
      </c>
      <c r="C920" s="10">
        <v>46009</v>
      </c>
      <c r="D920" s="10">
        <v>46009</v>
      </c>
      <c r="E920" s="9" t="s">
        <v>1340</v>
      </c>
      <c r="F920" s="9" t="s">
        <v>32</v>
      </c>
      <c r="G920" s="9" t="s">
        <v>355</v>
      </c>
      <c r="H920" s="11">
        <v>1038.4000000000001</v>
      </c>
      <c r="I920" s="11">
        <v>1038.4000000000001</v>
      </c>
      <c r="J920" s="11">
        <v>0</v>
      </c>
      <c r="K920">
        <v>1</v>
      </c>
    </row>
    <row r="921" spans="1:11" x14ac:dyDescent="0.25">
      <c r="A921" s="9" t="s">
        <v>52</v>
      </c>
      <c r="B921" s="9" t="s">
        <v>23</v>
      </c>
      <c r="C921" s="10">
        <v>46009</v>
      </c>
      <c r="D921" s="10">
        <v>46009</v>
      </c>
      <c r="E921" s="9" t="s">
        <v>1341</v>
      </c>
      <c r="F921" s="9" t="s">
        <v>32</v>
      </c>
      <c r="G921" s="9" t="s">
        <v>1132</v>
      </c>
      <c r="H921" s="11">
        <v>1096.1600000000001</v>
      </c>
      <c r="I921" s="11">
        <v>1096.1600000000001</v>
      </c>
      <c r="J921" s="11">
        <v>0</v>
      </c>
      <c r="K921">
        <v>1</v>
      </c>
    </row>
    <row r="922" spans="1:11" x14ac:dyDescent="0.25">
      <c r="A922" s="9" t="s">
        <v>52</v>
      </c>
      <c r="B922" s="9" t="s">
        <v>23</v>
      </c>
      <c r="C922" s="10">
        <v>46009</v>
      </c>
      <c r="D922" s="10">
        <v>46009</v>
      </c>
      <c r="E922" s="9" t="s">
        <v>1342</v>
      </c>
      <c r="F922" s="9" t="s">
        <v>32</v>
      </c>
      <c r="G922" s="9" t="s">
        <v>364</v>
      </c>
      <c r="H922" s="11">
        <v>5203.07</v>
      </c>
      <c r="I922" s="11">
        <v>5203.07</v>
      </c>
      <c r="J922" s="11">
        <v>0</v>
      </c>
      <c r="K922">
        <v>1</v>
      </c>
    </row>
    <row r="923" spans="1:11" x14ac:dyDescent="0.25">
      <c r="A923" s="9" t="s">
        <v>52</v>
      </c>
      <c r="B923" s="9" t="s">
        <v>23</v>
      </c>
      <c r="C923" s="10">
        <v>46009</v>
      </c>
      <c r="D923" s="10">
        <v>46009</v>
      </c>
      <c r="E923" s="9" t="s">
        <v>1343</v>
      </c>
      <c r="F923" s="9" t="s">
        <v>32</v>
      </c>
      <c r="G923" s="9" t="s">
        <v>496</v>
      </c>
      <c r="H923" s="11">
        <v>1229.73</v>
      </c>
      <c r="I923" s="11">
        <v>1229.73</v>
      </c>
      <c r="J923" s="11">
        <v>0</v>
      </c>
      <c r="K923">
        <v>1</v>
      </c>
    </row>
    <row r="924" spans="1:11" x14ac:dyDescent="0.25">
      <c r="A924" s="9" t="s">
        <v>52</v>
      </c>
      <c r="B924" s="9" t="s">
        <v>23</v>
      </c>
      <c r="C924" s="10">
        <v>46009</v>
      </c>
      <c r="D924" s="10">
        <v>46009</v>
      </c>
      <c r="E924" s="9" t="s">
        <v>1344</v>
      </c>
      <c r="F924" s="9" t="s">
        <v>32</v>
      </c>
      <c r="G924" s="9" t="s">
        <v>78</v>
      </c>
      <c r="H924" s="11">
        <v>2264.52</v>
      </c>
      <c r="I924" s="11">
        <v>2264.52</v>
      </c>
      <c r="J924" s="11">
        <v>0</v>
      </c>
      <c r="K924">
        <v>1</v>
      </c>
    </row>
    <row r="925" spans="1:11" x14ac:dyDescent="0.25">
      <c r="A925" s="9" t="s">
        <v>52</v>
      </c>
      <c r="B925" s="9" t="s">
        <v>23</v>
      </c>
      <c r="C925" s="10">
        <v>46009</v>
      </c>
      <c r="D925" s="10">
        <v>46009</v>
      </c>
      <c r="E925" s="9" t="s">
        <v>1345</v>
      </c>
      <c r="F925" s="9" t="s">
        <v>32</v>
      </c>
      <c r="G925" s="9" t="s">
        <v>577</v>
      </c>
      <c r="H925" s="11">
        <v>4288.5600000000004</v>
      </c>
      <c r="I925" s="11">
        <v>4288.5600000000004</v>
      </c>
      <c r="J925" s="11">
        <v>0</v>
      </c>
      <c r="K925">
        <v>1</v>
      </c>
    </row>
    <row r="926" spans="1:11" x14ac:dyDescent="0.25">
      <c r="A926" s="9" t="s">
        <v>52</v>
      </c>
      <c r="B926" s="9" t="s">
        <v>23</v>
      </c>
      <c r="C926" s="10">
        <v>46009</v>
      </c>
      <c r="D926" s="10">
        <v>46009</v>
      </c>
      <c r="E926" s="9" t="s">
        <v>1346</v>
      </c>
      <c r="F926" s="9" t="s">
        <v>32</v>
      </c>
      <c r="G926" s="9" t="s">
        <v>506</v>
      </c>
      <c r="H926" s="11">
        <v>2193.9299999999998</v>
      </c>
      <c r="I926" s="11">
        <v>2193.9299999999998</v>
      </c>
      <c r="J926" s="11">
        <v>0</v>
      </c>
      <c r="K926">
        <v>1</v>
      </c>
    </row>
    <row r="927" spans="1:11" x14ac:dyDescent="0.25">
      <c r="A927" s="9" t="s">
        <v>52</v>
      </c>
      <c r="B927" s="9" t="s">
        <v>23</v>
      </c>
      <c r="C927" s="10">
        <v>46009</v>
      </c>
      <c r="D927" s="10">
        <v>46009</v>
      </c>
      <c r="E927" s="9" t="s">
        <v>1347</v>
      </c>
      <c r="F927" s="9" t="s">
        <v>32</v>
      </c>
      <c r="G927" s="9" t="s">
        <v>70</v>
      </c>
      <c r="H927" s="11">
        <v>2879.37</v>
      </c>
      <c r="I927" s="11">
        <v>2879.37</v>
      </c>
      <c r="J927" s="11">
        <v>0</v>
      </c>
      <c r="K927">
        <v>1</v>
      </c>
    </row>
    <row r="928" spans="1:11" x14ac:dyDescent="0.25">
      <c r="A928" s="9" t="s">
        <v>52</v>
      </c>
      <c r="B928" s="9" t="s">
        <v>23</v>
      </c>
      <c r="C928" s="10">
        <v>46009</v>
      </c>
      <c r="D928" s="10">
        <v>46009</v>
      </c>
      <c r="E928" s="9" t="s">
        <v>1348</v>
      </c>
      <c r="F928" s="9" t="s">
        <v>32</v>
      </c>
      <c r="G928" s="9" t="s">
        <v>904</v>
      </c>
      <c r="H928" s="11">
        <v>8086.58</v>
      </c>
      <c r="I928" s="11">
        <v>8086.58</v>
      </c>
      <c r="J928" s="11">
        <v>0</v>
      </c>
      <c r="K928">
        <v>1</v>
      </c>
    </row>
    <row r="929" spans="1:11" x14ac:dyDescent="0.25">
      <c r="A929" s="9" t="s">
        <v>52</v>
      </c>
      <c r="B929" s="9" t="s">
        <v>23</v>
      </c>
      <c r="C929" s="10">
        <v>46009</v>
      </c>
      <c r="D929" s="10">
        <v>46009</v>
      </c>
      <c r="E929" s="9" t="s">
        <v>1349</v>
      </c>
      <c r="F929" s="9" t="s">
        <v>32</v>
      </c>
      <c r="G929" s="9" t="s">
        <v>196</v>
      </c>
      <c r="H929" s="11">
        <v>2130.2600000000002</v>
      </c>
      <c r="I929" s="11">
        <v>2130.2600000000002</v>
      </c>
      <c r="J929" s="11">
        <v>0</v>
      </c>
      <c r="K929">
        <v>1</v>
      </c>
    </row>
    <row r="930" spans="1:11" x14ac:dyDescent="0.25">
      <c r="A930" s="9" t="s">
        <v>52</v>
      </c>
      <c r="B930" s="9" t="s">
        <v>23</v>
      </c>
      <c r="C930" s="10">
        <v>46009</v>
      </c>
      <c r="D930" s="10">
        <v>46009</v>
      </c>
      <c r="E930" s="9" t="s">
        <v>1350</v>
      </c>
      <c r="F930" s="9" t="s">
        <v>32</v>
      </c>
      <c r="G930" s="9" t="s">
        <v>386</v>
      </c>
      <c r="H930" s="11">
        <v>15229.5</v>
      </c>
      <c r="I930" s="11">
        <v>15229.5</v>
      </c>
      <c r="J930" s="11">
        <v>0</v>
      </c>
      <c r="K930">
        <v>1</v>
      </c>
    </row>
    <row r="931" spans="1:11" x14ac:dyDescent="0.25">
      <c r="A931" s="9" t="s">
        <v>52</v>
      </c>
      <c r="B931" s="9" t="s">
        <v>23</v>
      </c>
      <c r="C931" s="10">
        <v>46009</v>
      </c>
      <c r="D931" s="10">
        <v>46009</v>
      </c>
      <c r="E931" s="9" t="s">
        <v>1351</v>
      </c>
      <c r="F931" s="9" t="s">
        <v>32</v>
      </c>
      <c r="G931" s="9" t="s">
        <v>349</v>
      </c>
      <c r="H931" s="11">
        <v>2078.2600000000002</v>
      </c>
      <c r="I931" s="11">
        <v>2078.2600000000002</v>
      </c>
      <c r="J931" s="11">
        <v>0</v>
      </c>
      <c r="K931">
        <v>1</v>
      </c>
    </row>
    <row r="932" spans="1:11" x14ac:dyDescent="0.25">
      <c r="A932" s="9" t="s">
        <v>52</v>
      </c>
      <c r="B932" s="9" t="s">
        <v>23</v>
      </c>
      <c r="C932" s="10">
        <v>46009</v>
      </c>
      <c r="D932" s="10">
        <v>46009</v>
      </c>
      <c r="E932" s="9" t="s">
        <v>1352</v>
      </c>
      <c r="F932" s="9" t="s">
        <v>32</v>
      </c>
      <c r="G932" s="9" t="s">
        <v>343</v>
      </c>
      <c r="H932" s="11">
        <v>1801.05</v>
      </c>
      <c r="I932" s="11">
        <v>1801.05</v>
      </c>
      <c r="J932" s="11">
        <v>0</v>
      </c>
      <c r="K932">
        <v>1</v>
      </c>
    </row>
    <row r="933" spans="1:11" x14ac:dyDescent="0.25">
      <c r="A933" s="9" t="s">
        <v>52</v>
      </c>
      <c r="B933" s="9" t="s">
        <v>23</v>
      </c>
      <c r="C933" s="10">
        <v>46009</v>
      </c>
      <c r="D933" s="10">
        <v>46009</v>
      </c>
      <c r="E933" s="9" t="s">
        <v>1353</v>
      </c>
      <c r="F933" s="9" t="s">
        <v>32</v>
      </c>
      <c r="G933" s="9" t="s">
        <v>531</v>
      </c>
      <c r="H933" s="11">
        <v>1695.72</v>
      </c>
      <c r="I933" s="11">
        <v>1695.72</v>
      </c>
      <c r="J933" s="11">
        <v>0</v>
      </c>
      <c r="K933">
        <v>1</v>
      </c>
    </row>
    <row r="934" spans="1:11" x14ac:dyDescent="0.25">
      <c r="A934" s="9" t="s">
        <v>52</v>
      </c>
      <c r="B934" s="9" t="s">
        <v>23</v>
      </c>
      <c r="C934" s="10">
        <v>46009</v>
      </c>
      <c r="D934" s="10">
        <v>46009</v>
      </c>
      <c r="E934" s="9" t="s">
        <v>1354</v>
      </c>
      <c r="F934" s="9" t="s">
        <v>32</v>
      </c>
      <c r="G934" s="9" t="s">
        <v>135</v>
      </c>
      <c r="H934" s="11">
        <v>1418.51</v>
      </c>
      <c r="I934" s="11">
        <v>1418.51</v>
      </c>
      <c r="J934" s="11">
        <v>0</v>
      </c>
      <c r="K934">
        <v>1</v>
      </c>
    </row>
    <row r="935" spans="1:11" x14ac:dyDescent="0.25">
      <c r="A935" s="9" t="s">
        <v>52</v>
      </c>
      <c r="B935" s="9" t="s">
        <v>23</v>
      </c>
      <c r="C935" s="10">
        <v>46009</v>
      </c>
      <c r="D935" s="10">
        <v>46009</v>
      </c>
      <c r="E935" s="9" t="s">
        <v>1355</v>
      </c>
      <c r="F935" s="9" t="s">
        <v>32</v>
      </c>
      <c r="G935" s="9" t="s">
        <v>485</v>
      </c>
      <c r="H935" s="11">
        <v>1375.29</v>
      </c>
      <c r="I935" s="11">
        <v>1375.29</v>
      </c>
      <c r="J935" s="11">
        <v>0</v>
      </c>
      <c r="K935">
        <v>1</v>
      </c>
    </row>
    <row r="936" spans="1:11" x14ac:dyDescent="0.25">
      <c r="A936" s="9" t="s">
        <v>52</v>
      </c>
      <c r="B936" s="9" t="s">
        <v>23</v>
      </c>
      <c r="C936" s="10">
        <v>46009</v>
      </c>
      <c r="D936" s="10">
        <v>46009</v>
      </c>
      <c r="E936" s="9" t="s">
        <v>1356</v>
      </c>
      <c r="F936" s="9" t="s">
        <v>32</v>
      </c>
      <c r="G936" s="9" t="s">
        <v>942</v>
      </c>
      <c r="H936" s="11">
        <v>3231.03</v>
      </c>
      <c r="I936" s="11">
        <v>3231.03</v>
      </c>
      <c r="J936" s="11">
        <v>0</v>
      </c>
      <c r="K936">
        <v>1</v>
      </c>
    </row>
    <row r="937" spans="1:11" x14ac:dyDescent="0.25">
      <c r="A937" s="9" t="s">
        <v>52</v>
      </c>
      <c r="B937" s="9" t="s">
        <v>23</v>
      </c>
      <c r="C937" s="10">
        <v>46009</v>
      </c>
      <c r="D937" s="10">
        <v>46009</v>
      </c>
      <c r="E937" s="9" t="s">
        <v>1357</v>
      </c>
      <c r="F937" s="9" t="s">
        <v>32</v>
      </c>
      <c r="G937" s="9" t="s">
        <v>540</v>
      </c>
      <c r="H937" s="11">
        <v>3309.17</v>
      </c>
      <c r="I937" s="11">
        <v>3309.17</v>
      </c>
      <c r="J937" s="11">
        <v>0</v>
      </c>
      <c r="K937">
        <v>1</v>
      </c>
    </row>
    <row r="938" spans="1:11" x14ac:dyDescent="0.25">
      <c r="A938" s="9" t="s">
        <v>52</v>
      </c>
      <c r="B938" s="9" t="s">
        <v>23</v>
      </c>
      <c r="C938" s="10">
        <v>46009</v>
      </c>
      <c r="D938" s="10">
        <v>46009</v>
      </c>
      <c r="E938" s="9" t="s">
        <v>1358</v>
      </c>
      <c r="F938" s="9" t="s">
        <v>32</v>
      </c>
      <c r="G938" s="9" t="s">
        <v>679</v>
      </c>
      <c r="H938" s="11">
        <v>1256.07</v>
      </c>
      <c r="I938" s="11">
        <v>1256.07</v>
      </c>
      <c r="J938" s="11">
        <v>0</v>
      </c>
      <c r="K938">
        <v>1</v>
      </c>
    </row>
    <row r="939" spans="1:11" x14ac:dyDescent="0.25">
      <c r="A939" s="9" t="s">
        <v>52</v>
      </c>
      <c r="B939" s="9" t="s">
        <v>23</v>
      </c>
      <c r="C939" s="10">
        <v>46009</v>
      </c>
      <c r="D939" s="10">
        <v>46009</v>
      </c>
      <c r="E939" s="9" t="s">
        <v>1359</v>
      </c>
      <c r="F939" s="9" t="s">
        <v>32</v>
      </c>
      <c r="G939" s="9" t="s">
        <v>137</v>
      </c>
      <c r="H939" s="11">
        <v>1162.99</v>
      </c>
      <c r="I939" s="11">
        <v>1162.99</v>
      </c>
      <c r="J939" s="11">
        <v>0</v>
      </c>
      <c r="K939">
        <v>1</v>
      </c>
    </row>
    <row r="940" spans="1:11" x14ac:dyDescent="0.25">
      <c r="A940" s="9" t="s">
        <v>52</v>
      </c>
      <c r="B940" s="9" t="s">
        <v>23</v>
      </c>
      <c r="C940" s="10">
        <v>46009</v>
      </c>
      <c r="D940" s="10">
        <v>46009</v>
      </c>
      <c r="E940" s="9" t="s">
        <v>1360</v>
      </c>
      <c r="F940" s="9" t="s">
        <v>32</v>
      </c>
      <c r="G940" s="9" t="s">
        <v>1004</v>
      </c>
      <c r="H940" s="11">
        <v>2352.41</v>
      </c>
      <c r="I940" s="11">
        <v>2352.41</v>
      </c>
      <c r="J940" s="11">
        <v>0</v>
      </c>
      <c r="K940">
        <v>1</v>
      </c>
    </row>
    <row r="941" spans="1:11" x14ac:dyDescent="0.25">
      <c r="A941" s="9" t="s">
        <v>52</v>
      </c>
      <c r="B941" s="9" t="s">
        <v>23</v>
      </c>
      <c r="C941" s="10">
        <v>46009</v>
      </c>
      <c r="D941" s="10">
        <v>46009</v>
      </c>
      <c r="E941" s="9" t="s">
        <v>1361</v>
      </c>
      <c r="F941" s="9" t="s">
        <v>32</v>
      </c>
      <c r="G941" s="9" t="s">
        <v>204</v>
      </c>
      <c r="H941" s="11">
        <v>1311.11</v>
      </c>
      <c r="I941" s="11">
        <v>1311.11</v>
      </c>
      <c r="J941" s="11">
        <v>0</v>
      </c>
      <c r="K941">
        <v>1</v>
      </c>
    </row>
    <row r="942" spans="1:11" x14ac:dyDescent="0.25">
      <c r="A942" s="9" t="s">
        <v>52</v>
      </c>
      <c r="B942" s="9" t="s">
        <v>23</v>
      </c>
      <c r="C942" s="10">
        <v>46009</v>
      </c>
      <c r="D942" s="10">
        <v>46009</v>
      </c>
      <c r="E942" s="9" t="s">
        <v>1362</v>
      </c>
      <c r="F942" s="9" t="s">
        <v>32</v>
      </c>
      <c r="G942" s="9" t="s">
        <v>127</v>
      </c>
      <c r="H942" s="11">
        <v>853.19</v>
      </c>
      <c r="I942" s="11">
        <v>853.19</v>
      </c>
      <c r="J942" s="11">
        <v>0</v>
      </c>
      <c r="K942">
        <v>1</v>
      </c>
    </row>
    <row r="943" spans="1:11" x14ac:dyDescent="0.25">
      <c r="A943" s="9" t="s">
        <v>52</v>
      </c>
      <c r="B943" s="9" t="s">
        <v>23</v>
      </c>
      <c r="C943" s="10">
        <v>46009</v>
      </c>
      <c r="D943" s="10">
        <v>46009</v>
      </c>
      <c r="E943" s="9" t="s">
        <v>1363</v>
      </c>
      <c r="F943" s="9" t="s">
        <v>32</v>
      </c>
      <c r="G943" s="9" t="s">
        <v>837</v>
      </c>
      <c r="H943" s="11">
        <v>2776.62</v>
      </c>
      <c r="I943" s="11">
        <v>2776.62</v>
      </c>
      <c r="J943" s="11">
        <v>0</v>
      </c>
      <c r="K943">
        <v>1</v>
      </c>
    </row>
    <row r="944" spans="1:11" x14ac:dyDescent="0.25">
      <c r="A944" s="9" t="s">
        <v>52</v>
      </c>
      <c r="B944" s="9" t="s">
        <v>23</v>
      </c>
      <c r="C944" s="10">
        <v>46009</v>
      </c>
      <c r="D944" s="10">
        <v>46009</v>
      </c>
      <c r="E944" s="9" t="s">
        <v>1364</v>
      </c>
      <c r="F944" s="9" t="s">
        <v>32</v>
      </c>
      <c r="G944" s="9" t="s">
        <v>309</v>
      </c>
      <c r="H944" s="11">
        <v>1462.22</v>
      </c>
      <c r="I944" s="11">
        <v>1462.22</v>
      </c>
      <c r="J944" s="11">
        <v>0</v>
      </c>
      <c r="K944">
        <v>1</v>
      </c>
    </row>
    <row r="945" spans="1:11" x14ac:dyDescent="0.25">
      <c r="A945" s="9" t="s">
        <v>52</v>
      </c>
      <c r="B945" s="9" t="s">
        <v>23</v>
      </c>
      <c r="C945" s="10">
        <v>46009</v>
      </c>
      <c r="D945" s="10">
        <v>46009</v>
      </c>
      <c r="E945" s="9" t="s">
        <v>1365</v>
      </c>
      <c r="F945" s="9" t="s">
        <v>32</v>
      </c>
      <c r="G945" s="9" t="s">
        <v>391</v>
      </c>
      <c r="H945" s="11">
        <v>3386.43</v>
      </c>
      <c r="I945" s="11">
        <v>3386.43</v>
      </c>
      <c r="J945" s="11">
        <v>0</v>
      </c>
      <c r="K945">
        <v>1</v>
      </c>
    </row>
    <row r="946" spans="1:11" x14ac:dyDescent="0.25">
      <c r="A946" s="9" t="s">
        <v>52</v>
      </c>
      <c r="B946" s="9" t="s">
        <v>23</v>
      </c>
      <c r="C946" s="10">
        <v>46009</v>
      </c>
      <c r="D946" s="10">
        <v>46009</v>
      </c>
      <c r="E946" s="9" t="s">
        <v>1366</v>
      </c>
      <c r="F946" s="9" t="s">
        <v>32</v>
      </c>
      <c r="G946" s="9" t="s">
        <v>1367</v>
      </c>
      <c r="H946" s="11">
        <v>12818.81</v>
      </c>
      <c r="I946" s="11">
        <v>12818.81</v>
      </c>
      <c r="J946" s="11">
        <v>0</v>
      </c>
      <c r="K946">
        <v>1</v>
      </c>
    </row>
    <row r="947" spans="1:11" x14ac:dyDescent="0.25">
      <c r="A947" s="9" t="s">
        <v>52</v>
      </c>
      <c r="B947" s="9" t="s">
        <v>23</v>
      </c>
      <c r="C947" s="10">
        <v>46009</v>
      </c>
      <c r="D947" s="10">
        <v>46009</v>
      </c>
      <c r="E947" s="9" t="s">
        <v>1368</v>
      </c>
      <c r="F947" s="9" t="s">
        <v>32</v>
      </c>
      <c r="G947" s="9" t="s">
        <v>281</v>
      </c>
      <c r="H947" s="11">
        <v>4094.38</v>
      </c>
      <c r="I947" s="11">
        <v>4094.38</v>
      </c>
      <c r="J947" s="11">
        <v>0</v>
      </c>
      <c r="K947">
        <v>1</v>
      </c>
    </row>
    <row r="948" spans="1:11" x14ac:dyDescent="0.25">
      <c r="A948" s="9" t="s">
        <v>52</v>
      </c>
      <c r="B948" s="9" t="s">
        <v>23</v>
      </c>
      <c r="C948" s="10">
        <v>46009</v>
      </c>
      <c r="D948" s="10">
        <v>46009</v>
      </c>
      <c r="E948" s="9" t="s">
        <v>1369</v>
      </c>
      <c r="F948" s="9" t="s">
        <v>32</v>
      </c>
      <c r="G948" s="9" t="s">
        <v>577</v>
      </c>
      <c r="H948" s="11">
        <v>4001.18</v>
      </c>
      <c r="I948" s="11">
        <v>4001.18</v>
      </c>
      <c r="J948" s="11">
        <v>0</v>
      </c>
      <c r="K948">
        <v>1</v>
      </c>
    </row>
    <row r="949" spans="1:11" x14ac:dyDescent="0.25">
      <c r="A949" s="9" t="s">
        <v>52</v>
      </c>
      <c r="B949" s="9" t="s">
        <v>23</v>
      </c>
      <c r="C949" s="10">
        <v>46009</v>
      </c>
      <c r="D949" s="10">
        <v>46009</v>
      </c>
      <c r="E949" s="9" t="s">
        <v>1370</v>
      </c>
      <c r="F949" s="9" t="s">
        <v>32</v>
      </c>
      <c r="G949" s="9" t="s">
        <v>307</v>
      </c>
      <c r="H949" s="11">
        <v>6247.06</v>
      </c>
      <c r="I949" s="11">
        <v>6247.06</v>
      </c>
      <c r="J949" s="11">
        <v>0</v>
      </c>
      <c r="K949">
        <v>1</v>
      </c>
    </row>
    <row r="950" spans="1:11" x14ac:dyDescent="0.25">
      <c r="A950" s="9" t="s">
        <v>52</v>
      </c>
      <c r="B950" s="9" t="s">
        <v>23</v>
      </c>
      <c r="C950" s="10">
        <v>46009</v>
      </c>
      <c r="D950" s="10">
        <v>46009</v>
      </c>
      <c r="E950" s="9" t="s">
        <v>1371</v>
      </c>
      <c r="F950" s="9" t="s">
        <v>32</v>
      </c>
      <c r="G950" s="9" t="s">
        <v>448</v>
      </c>
      <c r="H950" s="11">
        <v>9220.69</v>
      </c>
      <c r="I950" s="11">
        <v>9220.69</v>
      </c>
      <c r="J950" s="11">
        <v>0</v>
      </c>
      <c r="K950">
        <v>1</v>
      </c>
    </row>
    <row r="951" spans="1:11" x14ac:dyDescent="0.25">
      <c r="A951" s="9" t="s">
        <v>52</v>
      </c>
      <c r="B951" s="9" t="s">
        <v>23</v>
      </c>
      <c r="C951" s="10">
        <v>46009</v>
      </c>
      <c r="D951" s="10">
        <v>46009</v>
      </c>
      <c r="E951" s="9" t="s">
        <v>1372</v>
      </c>
      <c r="F951" s="9" t="s">
        <v>32</v>
      </c>
      <c r="G951" s="9" t="s">
        <v>600</v>
      </c>
      <c r="H951" s="11">
        <v>1061.32</v>
      </c>
      <c r="I951" s="11">
        <v>1061.32</v>
      </c>
      <c r="J951" s="11">
        <v>0</v>
      </c>
      <c r="K951">
        <v>1</v>
      </c>
    </row>
    <row r="952" spans="1:11" x14ac:dyDescent="0.25">
      <c r="A952" s="9" t="s">
        <v>52</v>
      </c>
      <c r="B952" s="9" t="s">
        <v>23</v>
      </c>
      <c r="C952" s="10">
        <v>46009</v>
      </c>
      <c r="D952" s="10">
        <v>46009</v>
      </c>
      <c r="E952" s="9" t="s">
        <v>1373</v>
      </c>
      <c r="F952" s="9" t="s">
        <v>32</v>
      </c>
      <c r="G952" s="9" t="s">
        <v>634</v>
      </c>
      <c r="H952" s="11">
        <v>1267.02</v>
      </c>
      <c r="I952" s="11">
        <v>1267.02</v>
      </c>
      <c r="J952" s="11">
        <v>0</v>
      </c>
      <c r="K952">
        <v>1</v>
      </c>
    </row>
    <row r="953" spans="1:11" x14ac:dyDescent="0.25">
      <c r="A953" s="9" t="s">
        <v>52</v>
      </c>
      <c r="B953" s="9" t="s">
        <v>23</v>
      </c>
      <c r="C953" s="10">
        <v>46009</v>
      </c>
      <c r="D953" s="10">
        <v>46009</v>
      </c>
      <c r="E953" s="9" t="s">
        <v>1374</v>
      </c>
      <c r="F953" s="9" t="s">
        <v>141</v>
      </c>
      <c r="G953" s="9" t="s">
        <v>1375</v>
      </c>
      <c r="H953" s="11">
        <v>-32580.79</v>
      </c>
      <c r="I953" s="11">
        <v>-32580.79</v>
      </c>
      <c r="J953" s="11">
        <v>0</v>
      </c>
      <c r="K953">
        <v>1</v>
      </c>
    </row>
    <row r="954" spans="1:11" x14ac:dyDescent="0.25">
      <c r="A954" s="9" t="s">
        <v>52</v>
      </c>
      <c r="B954" s="9" t="s">
        <v>23</v>
      </c>
      <c r="C954" s="10">
        <v>46009</v>
      </c>
      <c r="D954" s="10">
        <v>46009</v>
      </c>
      <c r="E954" s="9" t="s">
        <v>1376</v>
      </c>
      <c r="F954" s="9" t="s">
        <v>32</v>
      </c>
      <c r="G954" s="9" t="s">
        <v>582</v>
      </c>
      <c r="H954" s="11">
        <v>159.84</v>
      </c>
      <c r="I954" s="11">
        <v>159.84</v>
      </c>
      <c r="J954" s="11">
        <v>0</v>
      </c>
      <c r="K954">
        <v>1</v>
      </c>
    </row>
    <row r="955" spans="1:11" x14ac:dyDescent="0.25">
      <c r="A955" s="9" t="s">
        <v>52</v>
      </c>
      <c r="B955" s="9" t="s">
        <v>23</v>
      </c>
      <c r="C955" s="10">
        <v>46009</v>
      </c>
      <c r="D955" s="10">
        <v>46009</v>
      </c>
      <c r="E955" s="9" t="s">
        <v>1377</v>
      </c>
      <c r="F955" s="9" t="s">
        <v>32</v>
      </c>
      <c r="G955" s="9" t="s">
        <v>1378</v>
      </c>
      <c r="H955" s="11">
        <v>1263.5</v>
      </c>
      <c r="I955" s="11">
        <v>1263.5</v>
      </c>
      <c r="J955" s="11">
        <v>0</v>
      </c>
      <c r="K955">
        <v>1</v>
      </c>
    </row>
    <row r="956" spans="1:11" x14ac:dyDescent="0.25">
      <c r="A956" s="9" t="s">
        <v>52</v>
      </c>
      <c r="B956" s="9" t="s">
        <v>23</v>
      </c>
      <c r="C956" s="10">
        <v>46009</v>
      </c>
      <c r="D956" s="10">
        <v>46009</v>
      </c>
      <c r="E956" s="9" t="s">
        <v>1379</v>
      </c>
      <c r="F956" s="9" t="s">
        <v>32</v>
      </c>
      <c r="G956" s="9" t="s">
        <v>1158</v>
      </c>
      <c r="H956" s="11">
        <v>4204.62</v>
      </c>
      <c r="I956" s="11">
        <v>4204.62</v>
      </c>
      <c r="J956" s="11">
        <v>0</v>
      </c>
      <c r="K956">
        <v>1</v>
      </c>
    </row>
    <row r="957" spans="1:11" x14ac:dyDescent="0.25">
      <c r="A957" s="9" t="s">
        <v>52</v>
      </c>
      <c r="B957" s="9" t="s">
        <v>23</v>
      </c>
      <c r="C957" s="10">
        <v>46009</v>
      </c>
      <c r="D957" s="10">
        <v>46009</v>
      </c>
      <c r="E957" s="9" t="s">
        <v>1380</v>
      </c>
      <c r="F957" s="9" t="s">
        <v>32</v>
      </c>
      <c r="G957" s="9" t="s">
        <v>1381</v>
      </c>
      <c r="H957" s="11">
        <v>327.7</v>
      </c>
      <c r="I957" s="11">
        <v>327.7</v>
      </c>
      <c r="J957" s="11">
        <v>0</v>
      </c>
      <c r="K957">
        <v>1</v>
      </c>
    </row>
    <row r="958" spans="1:11" x14ac:dyDescent="0.25">
      <c r="A958" s="9" t="s">
        <v>52</v>
      </c>
      <c r="B958" s="9" t="s">
        <v>23</v>
      </c>
      <c r="C958" s="10">
        <v>46009</v>
      </c>
      <c r="D958" s="10">
        <v>46009</v>
      </c>
      <c r="E958" s="9" t="s">
        <v>1382</v>
      </c>
      <c r="F958" s="9" t="s">
        <v>32</v>
      </c>
      <c r="G958" s="9" t="s">
        <v>670</v>
      </c>
      <c r="H958" s="11">
        <v>2402.91</v>
      </c>
      <c r="I958" s="11">
        <v>2402.91</v>
      </c>
      <c r="J958" s="11">
        <v>0</v>
      </c>
      <c r="K958">
        <v>1</v>
      </c>
    </row>
    <row r="959" spans="1:11" x14ac:dyDescent="0.25">
      <c r="A959" s="9" t="s">
        <v>52</v>
      </c>
      <c r="B959" s="9" t="s">
        <v>23</v>
      </c>
      <c r="C959" s="10">
        <v>46009</v>
      </c>
      <c r="D959" s="10">
        <v>46009</v>
      </c>
      <c r="E959" s="9" t="s">
        <v>1383</v>
      </c>
      <c r="F959" s="9" t="s">
        <v>32</v>
      </c>
      <c r="G959" s="9" t="s">
        <v>222</v>
      </c>
      <c r="H959" s="11">
        <v>694.23</v>
      </c>
      <c r="I959" s="11">
        <v>694.23</v>
      </c>
      <c r="J959" s="11">
        <v>0</v>
      </c>
      <c r="K959">
        <v>1</v>
      </c>
    </row>
    <row r="960" spans="1:11" x14ac:dyDescent="0.25">
      <c r="A960" s="9" t="s">
        <v>52</v>
      </c>
      <c r="B960" s="9" t="s">
        <v>23</v>
      </c>
      <c r="C960" s="10">
        <v>46009</v>
      </c>
      <c r="D960" s="10">
        <v>46009</v>
      </c>
      <c r="E960" s="9" t="s">
        <v>1384</v>
      </c>
      <c r="F960" s="9" t="s">
        <v>32</v>
      </c>
      <c r="G960" s="9" t="s">
        <v>1006</v>
      </c>
      <c r="H960" s="11">
        <v>808.26</v>
      </c>
      <c r="I960" s="11">
        <v>808.26</v>
      </c>
      <c r="J960" s="11">
        <v>0</v>
      </c>
      <c r="K960">
        <v>1</v>
      </c>
    </row>
    <row r="961" spans="1:11" x14ac:dyDescent="0.25">
      <c r="A961" s="9" t="s">
        <v>52</v>
      </c>
      <c r="B961" s="9" t="s">
        <v>23</v>
      </c>
      <c r="C961" s="10">
        <v>46009</v>
      </c>
      <c r="D961" s="10">
        <v>46009</v>
      </c>
      <c r="E961" s="9" t="s">
        <v>1385</v>
      </c>
      <c r="F961" s="9" t="s">
        <v>32</v>
      </c>
      <c r="G961" s="9" t="s">
        <v>779</v>
      </c>
      <c r="H961" s="11">
        <v>825.31</v>
      </c>
      <c r="I961" s="11">
        <v>825.31</v>
      </c>
      <c r="J961" s="11">
        <v>0</v>
      </c>
      <c r="K961">
        <v>1</v>
      </c>
    </row>
    <row r="962" spans="1:11" x14ac:dyDescent="0.25">
      <c r="A962" s="9" t="s">
        <v>52</v>
      </c>
      <c r="B962" s="9" t="s">
        <v>23</v>
      </c>
      <c r="C962" s="10">
        <v>46010</v>
      </c>
      <c r="D962" s="10">
        <v>46010</v>
      </c>
      <c r="E962" s="9" t="s">
        <v>1386</v>
      </c>
      <c r="F962" s="9" t="s">
        <v>32</v>
      </c>
      <c r="G962" s="9" t="s">
        <v>1245</v>
      </c>
      <c r="H962" s="11">
        <v>1726.53</v>
      </c>
      <c r="I962" s="11">
        <v>1726.53</v>
      </c>
      <c r="J962" s="11">
        <v>0</v>
      </c>
      <c r="K962">
        <v>1</v>
      </c>
    </row>
    <row r="963" spans="1:11" x14ac:dyDescent="0.25">
      <c r="A963" s="9" t="s">
        <v>52</v>
      </c>
      <c r="B963" s="9" t="s">
        <v>23</v>
      </c>
      <c r="C963" s="10">
        <v>46010</v>
      </c>
      <c r="D963" s="10">
        <v>46010</v>
      </c>
      <c r="E963" s="9" t="s">
        <v>1387</v>
      </c>
      <c r="F963" s="9" t="s">
        <v>32</v>
      </c>
      <c r="G963" s="9" t="s">
        <v>88</v>
      </c>
      <c r="H963" s="11">
        <v>897.28</v>
      </c>
      <c r="I963" s="11">
        <v>897.28</v>
      </c>
      <c r="J963" s="11">
        <v>0</v>
      </c>
      <c r="K963">
        <v>1</v>
      </c>
    </row>
    <row r="964" spans="1:11" x14ac:dyDescent="0.25">
      <c r="A964" s="9" t="s">
        <v>52</v>
      </c>
      <c r="B964" s="9" t="s">
        <v>23</v>
      </c>
      <c r="C964" s="10">
        <v>46010</v>
      </c>
      <c r="D964" s="10">
        <v>46010</v>
      </c>
      <c r="E964" s="9" t="s">
        <v>1388</v>
      </c>
      <c r="F964" s="9" t="s">
        <v>32</v>
      </c>
      <c r="G964" s="9" t="s">
        <v>485</v>
      </c>
      <c r="H964" s="11">
        <v>916.19</v>
      </c>
      <c r="I964" s="11">
        <v>916.19</v>
      </c>
      <c r="J964" s="11">
        <v>0</v>
      </c>
      <c r="K964">
        <v>1</v>
      </c>
    </row>
    <row r="965" spans="1:11" x14ac:dyDescent="0.25">
      <c r="A965" s="9" t="s">
        <v>52</v>
      </c>
      <c r="B965" s="9" t="s">
        <v>23</v>
      </c>
      <c r="C965" s="10">
        <v>46010</v>
      </c>
      <c r="D965" s="10">
        <v>46010</v>
      </c>
      <c r="E965" s="9" t="s">
        <v>1389</v>
      </c>
      <c r="F965" s="9" t="s">
        <v>32</v>
      </c>
      <c r="G965" s="9" t="s">
        <v>514</v>
      </c>
      <c r="H965" s="11">
        <v>8289.33</v>
      </c>
      <c r="I965" s="11">
        <v>8289.33</v>
      </c>
      <c r="J965" s="11">
        <v>0</v>
      </c>
      <c r="K965">
        <v>1</v>
      </c>
    </row>
    <row r="966" spans="1:11" x14ac:dyDescent="0.25">
      <c r="A966" s="9" t="s">
        <v>52</v>
      </c>
      <c r="B966" s="9" t="s">
        <v>23</v>
      </c>
      <c r="C966" s="10">
        <v>46010</v>
      </c>
      <c r="D966" s="10">
        <v>46010</v>
      </c>
      <c r="E966" s="9" t="s">
        <v>1390</v>
      </c>
      <c r="F966" s="9" t="s">
        <v>32</v>
      </c>
      <c r="G966" s="9" t="s">
        <v>190</v>
      </c>
      <c r="H966" s="11">
        <v>1064.79</v>
      </c>
      <c r="I966" s="11">
        <v>1064.79</v>
      </c>
      <c r="J966" s="11">
        <v>0</v>
      </c>
      <c r="K966">
        <v>1</v>
      </c>
    </row>
    <row r="967" spans="1:11" x14ac:dyDescent="0.25">
      <c r="A967" s="9" t="s">
        <v>52</v>
      </c>
      <c r="B967" s="9" t="s">
        <v>23</v>
      </c>
      <c r="C967" s="10">
        <v>46010</v>
      </c>
      <c r="D967" s="10">
        <v>46010</v>
      </c>
      <c r="E967" s="9" t="s">
        <v>1391</v>
      </c>
      <c r="F967" s="9" t="s">
        <v>32</v>
      </c>
      <c r="G967" s="9" t="s">
        <v>99</v>
      </c>
      <c r="H967" s="11">
        <v>1776.01</v>
      </c>
      <c r="I967" s="11">
        <v>1776.01</v>
      </c>
      <c r="J967" s="11">
        <v>0</v>
      </c>
      <c r="K967">
        <v>1</v>
      </c>
    </row>
    <row r="968" spans="1:11" x14ac:dyDescent="0.25">
      <c r="A968" s="9" t="s">
        <v>52</v>
      </c>
      <c r="B968" s="9" t="s">
        <v>23</v>
      </c>
      <c r="C968" s="10">
        <v>46010</v>
      </c>
      <c r="D968" s="10">
        <v>46010</v>
      </c>
      <c r="E968" s="9" t="s">
        <v>1392</v>
      </c>
      <c r="F968" s="9" t="s">
        <v>32</v>
      </c>
      <c r="G968" s="9" t="s">
        <v>86</v>
      </c>
      <c r="H968" s="11">
        <v>1197.54</v>
      </c>
      <c r="I968" s="11">
        <v>1197.54</v>
      </c>
      <c r="J968" s="11">
        <v>0</v>
      </c>
      <c r="K968">
        <v>1</v>
      </c>
    </row>
    <row r="969" spans="1:11" x14ac:dyDescent="0.25">
      <c r="A969" s="9" t="s">
        <v>52</v>
      </c>
      <c r="B969" s="9" t="s">
        <v>23</v>
      </c>
      <c r="C969" s="10">
        <v>46010</v>
      </c>
      <c r="D969" s="10">
        <v>46010</v>
      </c>
      <c r="E969" s="9" t="s">
        <v>1393</v>
      </c>
      <c r="F969" s="9" t="s">
        <v>32</v>
      </c>
      <c r="G969" s="9" t="s">
        <v>509</v>
      </c>
      <c r="H969" s="11">
        <v>962.34</v>
      </c>
      <c r="I969" s="11">
        <v>962.34</v>
      </c>
      <c r="J969" s="11">
        <v>0</v>
      </c>
      <c r="K969">
        <v>1</v>
      </c>
    </row>
    <row r="970" spans="1:11" x14ac:dyDescent="0.25">
      <c r="A970" s="9" t="s">
        <v>52</v>
      </c>
      <c r="B970" s="9" t="s">
        <v>23</v>
      </c>
      <c r="C970" s="10">
        <v>46010</v>
      </c>
      <c r="D970" s="10">
        <v>46010</v>
      </c>
      <c r="E970" s="9" t="s">
        <v>1394</v>
      </c>
      <c r="F970" s="9" t="s">
        <v>32</v>
      </c>
      <c r="G970" s="9" t="s">
        <v>788</v>
      </c>
      <c r="H970" s="11">
        <v>1455.24</v>
      </c>
      <c r="I970" s="11">
        <v>1455.24</v>
      </c>
      <c r="J970" s="11">
        <v>0</v>
      </c>
      <c r="K970">
        <v>1</v>
      </c>
    </row>
    <row r="971" spans="1:11" x14ac:dyDescent="0.25">
      <c r="A971" s="9" t="s">
        <v>52</v>
      </c>
      <c r="B971" s="9" t="s">
        <v>23</v>
      </c>
      <c r="C971" s="10">
        <v>46010</v>
      </c>
      <c r="D971" s="10">
        <v>46010</v>
      </c>
      <c r="E971" s="9" t="s">
        <v>1395</v>
      </c>
      <c r="F971" s="9" t="s">
        <v>32</v>
      </c>
      <c r="G971" s="9" t="s">
        <v>239</v>
      </c>
      <c r="H971" s="11">
        <v>4947.57</v>
      </c>
      <c r="I971" s="11">
        <v>4947.57</v>
      </c>
      <c r="J971" s="11">
        <v>0</v>
      </c>
      <c r="K971">
        <v>1</v>
      </c>
    </row>
    <row r="972" spans="1:11" x14ac:dyDescent="0.25">
      <c r="A972" s="9" t="s">
        <v>52</v>
      </c>
      <c r="B972" s="9" t="s">
        <v>23</v>
      </c>
      <c r="C972" s="10">
        <v>46010</v>
      </c>
      <c r="D972" s="10">
        <v>46010</v>
      </c>
      <c r="E972" s="9" t="s">
        <v>1396</v>
      </c>
      <c r="F972" s="9" t="s">
        <v>32</v>
      </c>
      <c r="G972" s="9" t="s">
        <v>192</v>
      </c>
      <c r="H972" s="11">
        <v>847.28</v>
      </c>
      <c r="I972" s="11">
        <v>847.28</v>
      </c>
      <c r="J972" s="11">
        <v>0</v>
      </c>
      <c r="K972">
        <v>1</v>
      </c>
    </row>
    <row r="973" spans="1:11" x14ac:dyDescent="0.25">
      <c r="A973" s="9" t="s">
        <v>52</v>
      </c>
      <c r="B973" s="9" t="s">
        <v>23</v>
      </c>
      <c r="C973" s="10">
        <v>46010</v>
      </c>
      <c r="D973" s="10">
        <v>46010</v>
      </c>
      <c r="E973" s="9" t="s">
        <v>1397</v>
      </c>
      <c r="F973" s="9" t="s">
        <v>32</v>
      </c>
      <c r="G973" s="9" t="s">
        <v>72</v>
      </c>
      <c r="H973" s="11">
        <v>765.72</v>
      </c>
      <c r="I973" s="11">
        <v>765.72</v>
      </c>
      <c r="J973" s="11">
        <v>0</v>
      </c>
      <c r="K973">
        <v>1</v>
      </c>
    </row>
    <row r="974" spans="1:11" x14ac:dyDescent="0.25">
      <c r="A974" s="9" t="s">
        <v>52</v>
      </c>
      <c r="B974" s="9" t="s">
        <v>23</v>
      </c>
      <c r="C974" s="10">
        <v>46010</v>
      </c>
      <c r="D974" s="10">
        <v>46010</v>
      </c>
      <c r="E974" s="9" t="s">
        <v>1398</v>
      </c>
      <c r="F974" s="9" t="s">
        <v>32</v>
      </c>
      <c r="G974" s="9" t="s">
        <v>825</v>
      </c>
      <c r="H974" s="11">
        <v>540.78</v>
      </c>
      <c r="I974" s="11">
        <v>540.78</v>
      </c>
      <c r="J974" s="11">
        <v>0</v>
      </c>
      <c r="K974">
        <v>1</v>
      </c>
    </row>
    <row r="975" spans="1:11" x14ac:dyDescent="0.25">
      <c r="A975" s="9" t="s">
        <v>52</v>
      </c>
      <c r="B975" s="9" t="s">
        <v>23</v>
      </c>
      <c r="C975" s="10">
        <v>46010</v>
      </c>
      <c r="D975" s="10">
        <v>46010</v>
      </c>
      <c r="E975" s="9" t="s">
        <v>1399</v>
      </c>
      <c r="F975" s="9" t="s">
        <v>32</v>
      </c>
      <c r="G975" s="9" t="s">
        <v>1400</v>
      </c>
      <c r="H975" s="11">
        <v>1789.86</v>
      </c>
      <c r="I975" s="11">
        <v>1789.86</v>
      </c>
      <c r="J975" s="11">
        <v>0</v>
      </c>
      <c r="K975">
        <v>1</v>
      </c>
    </row>
    <row r="976" spans="1:11" x14ac:dyDescent="0.25">
      <c r="A976" s="9" t="s">
        <v>52</v>
      </c>
      <c r="B976" s="9" t="s">
        <v>23</v>
      </c>
      <c r="C976" s="10">
        <v>46010</v>
      </c>
      <c r="D976" s="10">
        <v>46010</v>
      </c>
      <c r="E976" s="9" t="s">
        <v>1401</v>
      </c>
      <c r="F976" s="9" t="s">
        <v>32</v>
      </c>
      <c r="G976" s="9" t="s">
        <v>945</v>
      </c>
      <c r="H976" s="11">
        <v>364.06</v>
      </c>
      <c r="I976" s="11">
        <v>364.06</v>
      </c>
      <c r="J976" s="11">
        <v>0</v>
      </c>
      <c r="K976">
        <v>1</v>
      </c>
    </row>
    <row r="977" spans="1:11" x14ac:dyDescent="0.25">
      <c r="A977" s="9" t="s">
        <v>52</v>
      </c>
      <c r="B977" s="9" t="s">
        <v>23</v>
      </c>
      <c r="C977" s="10">
        <v>46010</v>
      </c>
      <c r="D977" s="10">
        <v>46010</v>
      </c>
      <c r="E977" s="9" t="s">
        <v>1402</v>
      </c>
      <c r="F977" s="9" t="s">
        <v>141</v>
      </c>
      <c r="G977" s="9" t="s">
        <v>1403</v>
      </c>
      <c r="H977" s="11">
        <v>-18630.3</v>
      </c>
      <c r="I977" s="11">
        <v>-18630.3</v>
      </c>
      <c r="J977" s="11">
        <v>0</v>
      </c>
      <c r="K977">
        <v>1</v>
      </c>
    </row>
    <row r="978" spans="1:11" x14ac:dyDescent="0.25">
      <c r="A978" s="9" t="s">
        <v>52</v>
      </c>
      <c r="B978" s="9" t="s">
        <v>23</v>
      </c>
      <c r="C978" s="10">
        <v>46010</v>
      </c>
      <c r="D978" s="10">
        <v>46010</v>
      </c>
      <c r="E978" s="9" t="s">
        <v>1404</v>
      </c>
      <c r="F978" s="9" t="s">
        <v>32</v>
      </c>
      <c r="G978" s="9" t="s">
        <v>230</v>
      </c>
      <c r="H978" s="11">
        <v>8108.46</v>
      </c>
      <c r="I978" s="11">
        <v>8108.46</v>
      </c>
      <c r="J978" s="11">
        <v>0</v>
      </c>
      <c r="K978">
        <v>1</v>
      </c>
    </row>
    <row r="979" spans="1:11" x14ac:dyDescent="0.25">
      <c r="A979" s="9" t="s">
        <v>52</v>
      </c>
      <c r="B979" s="9" t="s">
        <v>23</v>
      </c>
      <c r="C979" s="10">
        <v>46010</v>
      </c>
      <c r="D979" s="10">
        <v>46010</v>
      </c>
      <c r="E979" s="9" t="s">
        <v>1405</v>
      </c>
      <c r="F979" s="9" t="s">
        <v>32</v>
      </c>
      <c r="G979" s="9" t="s">
        <v>270</v>
      </c>
      <c r="H979" s="11">
        <v>12722.55</v>
      </c>
      <c r="I979" s="11">
        <v>12722.55</v>
      </c>
      <c r="J979" s="11">
        <v>0</v>
      </c>
      <c r="K979">
        <v>1</v>
      </c>
    </row>
    <row r="980" spans="1:11" x14ac:dyDescent="0.25">
      <c r="A980" s="9" t="s">
        <v>52</v>
      </c>
      <c r="B980" s="9" t="s">
        <v>23</v>
      </c>
      <c r="C980" s="10">
        <v>46010</v>
      </c>
      <c r="D980" s="10">
        <v>46010</v>
      </c>
      <c r="E980" s="9" t="s">
        <v>1406</v>
      </c>
      <c r="F980" s="9" t="s">
        <v>32</v>
      </c>
      <c r="G980" s="9" t="s">
        <v>252</v>
      </c>
      <c r="H980" s="11">
        <v>3664.71</v>
      </c>
      <c r="I980" s="11">
        <v>3664.71</v>
      </c>
      <c r="J980" s="11">
        <v>0</v>
      </c>
      <c r="K980">
        <v>1</v>
      </c>
    </row>
    <row r="981" spans="1:11" x14ac:dyDescent="0.25">
      <c r="A981" s="9" t="s">
        <v>52</v>
      </c>
      <c r="B981" s="9" t="s">
        <v>23</v>
      </c>
      <c r="C981" s="10">
        <v>46010</v>
      </c>
      <c r="D981" s="10">
        <v>46010</v>
      </c>
      <c r="E981" s="9" t="s">
        <v>1407</v>
      </c>
      <c r="F981" s="9" t="s">
        <v>141</v>
      </c>
      <c r="G981" s="9" t="s">
        <v>1408</v>
      </c>
      <c r="H981" s="11">
        <v>-38650.18</v>
      </c>
      <c r="I981" s="11">
        <v>-38650.18</v>
      </c>
      <c r="J981" s="11">
        <v>0</v>
      </c>
      <c r="K981">
        <v>1</v>
      </c>
    </row>
    <row r="982" spans="1:11" x14ac:dyDescent="0.25">
      <c r="A982" s="9" t="s">
        <v>52</v>
      </c>
      <c r="B982" s="9" t="s">
        <v>23</v>
      </c>
      <c r="C982" s="10">
        <v>46010</v>
      </c>
      <c r="D982" s="10">
        <v>46010</v>
      </c>
      <c r="E982" s="9" t="s">
        <v>1409</v>
      </c>
      <c r="F982" s="9" t="s">
        <v>32</v>
      </c>
      <c r="G982" s="9" t="s">
        <v>108</v>
      </c>
      <c r="H982" s="11">
        <v>936.53</v>
      </c>
      <c r="I982" s="11">
        <v>936.53</v>
      </c>
      <c r="J982" s="11">
        <v>0</v>
      </c>
      <c r="K982">
        <v>1</v>
      </c>
    </row>
    <row r="983" spans="1:11" x14ac:dyDescent="0.25">
      <c r="A983" s="9" t="s">
        <v>52</v>
      </c>
      <c r="B983" s="9" t="s">
        <v>23</v>
      </c>
      <c r="C983" s="10">
        <v>46010</v>
      </c>
      <c r="D983" s="10">
        <v>46010</v>
      </c>
      <c r="E983" s="9" t="s">
        <v>1410</v>
      </c>
      <c r="F983" s="9" t="s">
        <v>141</v>
      </c>
      <c r="G983" s="9" t="s">
        <v>1411</v>
      </c>
      <c r="H983" s="11">
        <v>-48050.19</v>
      </c>
      <c r="I983" s="11">
        <v>-48050.19</v>
      </c>
      <c r="J983" s="11">
        <v>0</v>
      </c>
      <c r="K983">
        <v>1</v>
      </c>
    </row>
    <row r="984" spans="1:11" x14ac:dyDescent="0.25">
      <c r="A984" s="9" t="s">
        <v>52</v>
      </c>
      <c r="B984" s="9" t="s">
        <v>23</v>
      </c>
      <c r="C984" s="10">
        <v>46010</v>
      </c>
      <c r="D984" s="10">
        <v>46010</v>
      </c>
      <c r="E984" s="9" t="s">
        <v>1412</v>
      </c>
      <c r="F984" s="9" t="s">
        <v>32</v>
      </c>
      <c r="G984" s="9" t="s">
        <v>321</v>
      </c>
      <c r="H984" s="11">
        <v>2324.21</v>
      </c>
      <c r="I984" s="11">
        <v>2324.21</v>
      </c>
      <c r="J984" s="11">
        <v>0</v>
      </c>
      <c r="K984">
        <v>1</v>
      </c>
    </row>
    <row r="985" spans="1:11" x14ac:dyDescent="0.25">
      <c r="A985" s="9" t="s">
        <v>52</v>
      </c>
      <c r="B985" s="9" t="s">
        <v>23</v>
      </c>
      <c r="C985" s="10">
        <v>46010</v>
      </c>
      <c r="D985" s="10">
        <v>46010</v>
      </c>
      <c r="E985" s="9" t="s">
        <v>1413</v>
      </c>
      <c r="F985" s="9" t="s">
        <v>32</v>
      </c>
      <c r="G985" s="9" t="s">
        <v>367</v>
      </c>
      <c r="H985" s="11">
        <v>6652.05</v>
      </c>
      <c r="I985" s="11">
        <v>6652.05</v>
      </c>
      <c r="J985" s="11">
        <v>0</v>
      </c>
      <c r="K985">
        <v>1</v>
      </c>
    </row>
    <row r="986" spans="1:11" x14ac:dyDescent="0.25">
      <c r="A986" s="9" t="s">
        <v>52</v>
      </c>
      <c r="B986" s="9" t="s">
        <v>23</v>
      </c>
      <c r="C986" s="10">
        <v>46010</v>
      </c>
      <c r="D986" s="10">
        <v>46010</v>
      </c>
      <c r="E986" s="9" t="s">
        <v>1414</v>
      </c>
      <c r="F986" s="9" t="s">
        <v>32</v>
      </c>
      <c r="G986" s="9" t="s">
        <v>1048</v>
      </c>
      <c r="H986" s="11">
        <v>1796.76</v>
      </c>
      <c r="I986" s="11">
        <v>1796.76</v>
      </c>
      <c r="J986" s="11">
        <v>0</v>
      </c>
      <c r="K986">
        <v>1</v>
      </c>
    </row>
    <row r="987" spans="1:11" x14ac:dyDescent="0.25">
      <c r="A987" s="9" t="s">
        <v>52</v>
      </c>
      <c r="B987" s="9" t="s">
        <v>23</v>
      </c>
      <c r="C987" s="10">
        <v>46010</v>
      </c>
      <c r="D987" s="10">
        <v>46010</v>
      </c>
      <c r="E987" s="9" t="s">
        <v>1415</v>
      </c>
      <c r="F987" s="9" t="s">
        <v>32</v>
      </c>
      <c r="G987" s="9" t="s">
        <v>336</v>
      </c>
      <c r="H987" s="11">
        <v>1952.14</v>
      </c>
      <c r="I987" s="11">
        <v>1952.14</v>
      </c>
      <c r="J987" s="11">
        <v>0</v>
      </c>
      <c r="K987">
        <v>1</v>
      </c>
    </row>
    <row r="988" spans="1:11" x14ac:dyDescent="0.25">
      <c r="A988" s="9" t="s">
        <v>52</v>
      </c>
      <c r="B988" s="9" t="s">
        <v>23</v>
      </c>
      <c r="C988" s="10">
        <v>46010</v>
      </c>
      <c r="D988" s="10">
        <v>46010</v>
      </c>
      <c r="E988" s="9" t="s">
        <v>1416</v>
      </c>
      <c r="F988" s="9" t="s">
        <v>32</v>
      </c>
      <c r="G988" s="9" t="s">
        <v>364</v>
      </c>
      <c r="H988" s="11">
        <v>3027.47</v>
      </c>
      <c r="I988" s="11">
        <v>3027.47</v>
      </c>
      <c r="J988" s="11">
        <v>0</v>
      </c>
      <c r="K988">
        <v>1</v>
      </c>
    </row>
    <row r="989" spans="1:11" x14ac:dyDescent="0.25">
      <c r="A989" s="9" t="s">
        <v>52</v>
      </c>
      <c r="B989" s="9" t="s">
        <v>23</v>
      </c>
      <c r="C989" s="10">
        <v>46010</v>
      </c>
      <c r="D989" s="10">
        <v>46010</v>
      </c>
      <c r="E989" s="9" t="s">
        <v>1417</v>
      </c>
      <c r="F989" s="9" t="s">
        <v>32</v>
      </c>
      <c r="G989" s="9" t="s">
        <v>1418</v>
      </c>
      <c r="H989" s="11">
        <v>2257.13</v>
      </c>
      <c r="I989" s="11">
        <v>2257.13</v>
      </c>
      <c r="J989" s="11">
        <v>0</v>
      </c>
      <c r="K989">
        <v>1</v>
      </c>
    </row>
    <row r="990" spans="1:11" x14ac:dyDescent="0.25">
      <c r="A990" s="9" t="s">
        <v>52</v>
      </c>
      <c r="B990" s="9" t="s">
        <v>23</v>
      </c>
      <c r="C990" s="10">
        <v>46010</v>
      </c>
      <c r="D990" s="10">
        <v>46010</v>
      </c>
      <c r="E990" s="9" t="s">
        <v>1419</v>
      </c>
      <c r="F990" s="9" t="s">
        <v>32</v>
      </c>
      <c r="G990" s="9" t="s">
        <v>1057</v>
      </c>
      <c r="H990" s="11">
        <v>1595.75</v>
      </c>
      <c r="I990" s="11">
        <v>1595.75</v>
      </c>
      <c r="J990" s="11">
        <v>0</v>
      </c>
      <c r="K990">
        <v>1</v>
      </c>
    </row>
    <row r="991" spans="1:11" x14ac:dyDescent="0.25">
      <c r="A991" s="9" t="s">
        <v>52</v>
      </c>
      <c r="B991" s="9" t="s">
        <v>23</v>
      </c>
      <c r="C991" s="10">
        <v>46010</v>
      </c>
      <c r="D991" s="10">
        <v>46010</v>
      </c>
      <c r="E991" s="9" t="s">
        <v>1420</v>
      </c>
      <c r="F991" s="9" t="s">
        <v>32</v>
      </c>
      <c r="G991" s="9" t="s">
        <v>270</v>
      </c>
      <c r="H991" s="11">
        <v>6537.62</v>
      </c>
      <c r="I991" s="11">
        <v>6537.62</v>
      </c>
      <c r="J991" s="11">
        <v>0</v>
      </c>
      <c r="K991">
        <v>1</v>
      </c>
    </row>
    <row r="992" spans="1:11" x14ac:dyDescent="0.25">
      <c r="A992" s="9" t="s">
        <v>52</v>
      </c>
      <c r="B992" s="9" t="s">
        <v>23</v>
      </c>
      <c r="C992" s="10">
        <v>46010</v>
      </c>
      <c r="D992" s="10">
        <v>46010</v>
      </c>
      <c r="E992" s="9" t="s">
        <v>1421</v>
      </c>
      <c r="F992" s="9" t="s">
        <v>32</v>
      </c>
      <c r="G992" s="9" t="s">
        <v>84</v>
      </c>
      <c r="H992" s="11">
        <v>2365.5500000000002</v>
      </c>
      <c r="I992" s="11">
        <v>2365.5500000000002</v>
      </c>
      <c r="J992" s="11">
        <v>0</v>
      </c>
      <c r="K992">
        <v>1</v>
      </c>
    </row>
    <row r="993" spans="1:11" x14ac:dyDescent="0.25">
      <c r="A993" s="9" t="s">
        <v>52</v>
      </c>
      <c r="B993" s="9" t="s">
        <v>23</v>
      </c>
      <c r="C993" s="10">
        <v>46010</v>
      </c>
      <c r="D993" s="10">
        <v>46010</v>
      </c>
      <c r="E993" s="9" t="s">
        <v>1422</v>
      </c>
      <c r="F993" s="9" t="s">
        <v>32</v>
      </c>
      <c r="G993" s="9" t="s">
        <v>379</v>
      </c>
      <c r="H993" s="11">
        <v>3162.89</v>
      </c>
      <c r="I993" s="11">
        <v>3162.89</v>
      </c>
      <c r="J993" s="11">
        <v>0</v>
      </c>
      <c r="K993">
        <v>1</v>
      </c>
    </row>
    <row r="994" spans="1:11" x14ac:dyDescent="0.25">
      <c r="A994" s="9" t="s">
        <v>52</v>
      </c>
      <c r="B994" s="9" t="s">
        <v>23</v>
      </c>
      <c r="C994" s="10">
        <v>46010</v>
      </c>
      <c r="D994" s="10">
        <v>46010</v>
      </c>
      <c r="E994" s="9" t="s">
        <v>1423</v>
      </c>
      <c r="F994" s="9" t="s">
        <v>32</v>
      </c>
      <c r="G994" s="9" t="s">
        <v>1239</v>
      </c>
      <c r="H994" s="11">
        <v>2565.46</v>
      </c>
      <c r="I994" s="11">
        <v>2565.46</v>
      </c>
      <c r="J994" s="11">
        <v>0</v>
      </c>
      <c r="K994">
        <v>1</v>
      </c>
    </row>
    <row r="995" spans="1:11" x14ac:dyDescent="0.25">
      <c r="A995" s="9" t="s">
        <v>52</v>
      </c>
      <c r="B995" s="9" t="s">
        <v>23</v>
      </c>
      <c r="C995" s="10">
        <v>46010</v>
      </c>
      <c r="D995" s="10">
        <v>46010</v>
      </c>
      <c r="E995" s="9" t="s">
        <v>1424</v>
      </c>
      <c r="F995" s="9" t="s">
        <v>32</v>
      </c>
      <c r="G995" s="9" t="s">
        <v>64</v>
      </c>
      <c r="H995" s="11">
        <v>3474.89</v>
      </c>
      <c r="I995" s="11">
        <v>3474.89</v>
      </c>
      <c r="J995" s="11">
        <v>0</v>
      </c>
      <c r="K995">
        <v>1</v>
      </c>
    </row>
    <row r="996" spans="1:11" x14ac:dyDescent="0.25">
      <c r="A996" s="9" t="s">
        <v>52</v>
      </c>
      <c r="B996" s="9" t="s">
        <v>23</v>
      </c>
      <c r="C996" s="10">
        <v>46010</v>
      </c>
      <c r="D996" s="10">
        <v>46010</v>
      </c>
      <c r="E996" s="9" t="s">
        <v>1425</v>
      </c>
      <c r="F996" s="9" t="s">
        <v>32</v>
      </c>
      <c r="G996" s="9" t="s">
        <v>247</v>
      </c>
      <c r="H996" s="11">
        <v>4692.99</v>
      </c>
      <c r="I996" s="11">
        <v>4692.99</v>
      </c>
      <c r="J996" s="11">
        <v>0</v>
      </c>
      <c r="K996">
        <v>1</v>
      </c>
    </row>
    <row r="997" spans="1:11" x14ac:dyDescent="0.25">
      <c r="A997" s="9" t="s">
        <v>52</v>
      </c>
      <c r="B997" s="9" t="s">
        <v>23</v>
      </c>
      <c r="C997" s="10">
        <v>46010</v>
      </c>
      <c r="D997" s="10">
        <v>46010</v>
      </c>
      <c r="E997" s="9" t="s">
        <v>1426</v>
      </c>
      <c r="F997" s="9" t="s">
        <v>32</v>
      </c>
      <c r="G997" s="9" t="s">
        <v>393</v>
      </c>
      <c r="H997" s="11">
        <v>2695.38</v>
      </c>
      <c r="I997" s="11">
        <v>2695.38</v>
      </c>
      <c r="J997" s="11">
        <v>0</v>
      </c>
      <c r="K997">
        <v>1</v>
      </c>
    </row>
    <row r="998" spans="1:11" x14ac:dyDescent="0.25">
      <c r="A998" s="9" t="s">
        <v>52</v>
      </c>
      <c r="B998" s="9" t="s">
        <v>23</v>
      </c>
      <c r="C998" s="10">
        <v>46010</v>
      </c>
      <c r="D998" s="10">
        <v>46010</v>
      </c>
      <c r="E998" s="9" t="s">
        <v>1427</v>
      </c>
      <c r="F998" s="9" t="s">
        <v>32</v>
      </c>
      <c r="G998" s="9" t="s">
        <v>655</v>
      </c>
      <c r="H998" s="11">
        <v>4410.12</v>
      </c>
      <c r="I998" s="11">
        <v>4410.12</v>
      </c>
      <c r="J998" s="11">
        <v>0</v>
      </c>
      <c r="K998">
        <v>1</v>
      </c>
    </row>
    <row r="999" spans="1:11" x14ac:dyDescent="0.25">
      <c r="A999" s="9" t="s">
        <v>52</v>
      </c>
      <c r="B999" s="9" t="s">
        <v>23</v>
      </c>
      <c r="C999" s="10">
        <v>46010</v>
      </c>
      <c r="D999" s="10">
        <v>46010</v>
      </c>
      <c r="E999" s="9" t="s">
        <v>1428</v>
      </c>
      <c r="F999" s="9" t="s">
        <v>32</v>
      </c>
      <c r="G999" s="9" t="s">
        <v>116</v>
      </c>
      <c r="H999" s="11">
        <v>6000.74</v>
      </c>
      <c r="I999" s="11">
        <v>6000.74</v>
      </c>
      <c r="J999" s="11">
        <v>0</v>
      </c>
      <c r="K999">
        <v>1</v>
      </c>
    </row>
    <row r="1000" spans="1:11" x14ac:dyDescent="0.25">
      <c r="A1000" s="9" t="s">
        <v>52</v>
      </c>
      <c r="B1000" s="9" t="s">
        <v>55</v>
      </c>
      <c r="C1000" s="10">
        <v>46013</v>
      </c>
      <c r="D1000" s="10">
        <v>46013</v>
      </c>
      <c r="E1000" s="9" t="s">
        <v>1429</v>
      </c>
      <c r="F1000" s="9" t="s">
        <v>57</v>
      </c>
      <c r="G1000" s="9" t="s">
        <v>124</v>
      </c>
      <c r="H1000" s="11">
        <v>3334.78</v>
      </c>
      <c r="I1000" s="11">
        <v>3334.78</v>
      </c>
      <c r="J1000" s="11">
        <v>0</v>
      </c>
      <c r="K1000">
        <v>1</v>
      </c>
    </row>
    <row r="1001" spans="1:11" x14ac:dyDescent="0.25">
      <c r="A1001" s="9" t="s">
        <v>52</v>
      </c>
      <c r="B1001" s="9" t="s">
        <v>23</v>
      </c>
      <c r="C1001" s="10">
        <v>46013</v>
      </c>
      <c r="D1001" s="10">
        <v>46013</v>
      </c>
      <c r="E1001" s="9" t="s">
        <v>1430</v>
      </c>
      <c r="F1001" s="9" t="s">
        <v>32</v>
      </c>
      <c r="G1001" s="9" t="s">
        <v>84</v>
      </c>
      <c r="H1001" s="11">
        <v>2010.58</v>
      </c>
      <c r="I1001" s="11">
        <v>2010.58</v>
      </c>
      <c r="J1001" s="11">
        <v>0</v>
      </c>
      <c r="K1001">
        <v>1</v>
      </c>
    </row>
    <row r="1002" spans="1:11" x14ac:dyDescent="0.25">
      <c r="A1002" s="9" t="s">
        <v>52</v>
      </c>
      <c r="B1002" s="9" t="s">
        <v>23</v>
      </c>
      <c r="C1002" s="10">
        <v>46013</v>
      </c>
      <c r="D1002" s="10">
        <v>46013</v>
      </c>
      <c r="E1002" s="9" t="s">
        <v>1431</v>
      </c>
      <c r="F1002" s="9" t="s">
        <v>32</v>
      </c>
      <c r="G1002" s="9" t="s">
        <v>658</v>
      </c>
      <c r="H1002" s="11">
        <v>1870.27</v>
      </c>
      <c r="I1002" s="11">
        <v>1870.27</v>
      </c>
      <c r="J1002" s="11">
        <v>0</v>
      </c>
      <c r="K1002">
        <v>1</v>
      </c>
    </row>
    <row r="1003" spans="1:11" x14ac:dyDescent="0.25">
      <c r="A1003" s="9" t="s">
        <v>52</v>
      </c>
      <c r="B1003" s="9" t="s">
        <v>23</v>
      </c>
      <c r="C1003" s="10">
        <v>46013</v>
      </c>
      <c r="D1003" s="10">
        <v>46013</v>
      </c>
      <c r="E1003" s="9" t="s">
        <v>1432</v>
      </c>
      <c r="F1003" s="9" t="s">
        <v>32</v>
      </c>
      <c r="G1003" s="9" t="s">
        <v>416</v>
      </c>
      <c r="H1003" s="11">
        <v>1805.36</v>
      </c>
      <c r="I1003" s="11">
        <v>1805.36</v>
      </c>
      <c r="J1003" s="11">
        <v>0</v>
      </c>
      <c r="K1003">
        <v>1</v>
      </c>
    </row>
    <row r="1004" spans="1:11" x14ac:dyDescent="0.25">
      <c r="A1004" s="9" t="s">
        <v>52</v>
      </c>
      <c r="B1004" s="9" t="s">
        <v>23</v>
      </c>
      <c r="C1004" s="10">
        <v>46013</v>
      </c>
      <c r="D1004" s="10">
        <v>46013</v>
      </c>
      <c r="E1004" s="9" t="s">
        <v>1433</v>
      </c>
      <c r="F1004" s="9" t="s">
        <v>32</v>
      </c>
      <c r="G1004" s="9" t="s">
        <v>857</v>
      </c>
      <c r="H1004" s="11">
        <v>1623.28</v>
      </c>
      <c r="I1004" s="11">
        <v>1623.28</v>
      </c>
      <c r="J1004" s="11">
        <v>0</v>
      </c>
      <c r="K1004">
        <v>1</v>
      </c>
    </row>
    <row r="1005" spans="1:11" x14ac:dyDescent="0.25">
      <c r="A1005" s="9" t="s">
        <v>52</v>
      </c>
      <c r="B1005" s="9" t="s">
        <v>23</v>
      </c>
      <c r="C1005" s="10">
        <v>46013</v>
      </c>
      <c r="D1005" s="10">
        <v>46013</v>
      </c>
      <c r="E1005" s="9" t="s">
        <v>1434</v>
      </c>
      <c r="F1005" s="9" t="s">
        <v>32</v>
      </c>
      <c r="G1005" s="9" t="s">
        <v>753</v>
      </c>
      <c r="H1005" s="11">
        <v>1697.36</v>
      </c>
      <c r="I1005" s="11">
        <v>1697.36</v>
      </c>
      <c r="J1005" s="11">
        <v>0</v>
      </c>
      <c r="K1005">
        <v>1</v>
      </c>
    </row>
    <row r="1006" spans="1:11" x14ac:dyDescent="0.25">
      <c r="A1006" s="9" t="s">
        <v>52</v>
      </c>
      <c r="B1006" s="9" t="s">
        <v>23</v>
      </c>
      <c r="C1006" s="10">
        <v>46013</v>
      </c>
      <c r="D1006" s="10">
        <v>46013</v>
      </c>
      <c r="E1006" s="9" t="s">
        <v>1435</v>
      </c>
      <c r="F1006" s="9" t="s">
        <v>32</v>
      </c>
      <c r="G1006" s="9" t="s">
        <v>1418</v>
      </c>
      <c r="H1006" s="11">
        <v>2345.77</v>
      </c>
      <c r="I1006" s="11">
        <v>2345.77</v>
      </c>
      <c r="J1006" s="11">
        <v>0</v>
      </c>
      <c r="K1006">
        <v>1</v>
      </c>
    </row>
    <row r="1007" spans="1:11" x14ac:dyDescent="0.25">
      <c r="A1007" s="9" t="s">
        <v>52</v>
      </c>
      <c r="B1007" s="9" t="s">
        <v>23</v>
      </c>
      <c r="C1007" s="10">
        <v>46013</v>
      </c>
      <c r="D1007" s="10">
        <v>46013</v>
      </c>
      <c r="E1007" s="9" t="s">
        <v>1436</v>
      </c>
      <c r="F1007" s="9" t="s">
        <v>32</v>
      </c>
      <c r="G1007" s="9" t="s">
        <v>268</v>
      </c>
      <c r="H1007" s="11">
        <v>18061.8</v>
      </c>
      <c r="I1007" s="11">
        <v>18061.8</v>
      </c>
      <c r="J1007" s="11">
        <v>0</v>
      </c>
      <c r="K1007">
        <v>1</v>
      </c>
    </row>
    <row r="1008" spans="1:11" x14ac:dyDescent="0.25">
      <c r="A1008" s="9" t="s">
        <v>52</v>
      </c>
      <c r="B1008" s="9" t="s">
        <v>23</v>
      </c>
      <c r="C1008" s="10">
        <v>46013</v>
      </c>
      <c r="D1008" s="10">
        <v>46013</v>
      </c>
      <c r="E1008" s="9" t="s">
        <v>1437</v>
      </c>
      <c r="F1008" s="9" t="s">
        <v>32</v>
      </c>
      <c r="G1008" s="9" t="s">
        <v>349</v>
      </c>
      <c r="H1008" s="11">
        <v>2427.73</v>
      </c>
      <c r="I1008" s="11">
        <v>2427.73</v>
      </c>
      <c r="J1008" s="11">
        <v>0</v>
      </c>
      <c r="K1008">
        <v>1</v>
      </c>
    </row>
    <row r="1009" spans="1:11" x14ac:dyDescent="0.25">
      <c r="A1009" s="9" t="s">
        <v>52</v>
      </c>
      <c r="B1009" s="9" t="s">
        <v>23</v>
      </c>
      <c r="C1009" s="10">
        <v>46013</v>
      </c>
      <c r="D1009" s="10">
        <v>46013</v>
      </c>
      <c r="E1009" s="9" t="s">
        <v>1438</v>
      </c>
      <c r="F1009" s="9" t="s">
        <v>32</v>
      </c>
      <c r="G1009" s="9" t="s">
        <v>756</v>
      </c>
      <c r="H1009" s="11">
        <v>1695.78</v>
      </c>
      <c r="I1009" s="11">
        <v>1695.78</v>
      </c>
      <c r="J1009" s="11">
        <v>0</v>
      </c>
      <c r="K1009">
        <v>1</v>
      </c>
    </row>
    <row r="1010" spans="1:11" x14ac:dyDescent="0.25">
      <c r="A1010" s="9" t="s">
        <v>52</v>
      </c>
      <c r="B1010" s="9" t="s">
        <v>23</v>
      </c>
      <c r="C1010" s="10">
        <v>46013</v>
      </c>
      <c r="D1010" s="10">
        <v>46013</v>
      </c>
      <c r="E1010" s="9" t="s">
        <v>1439</v>
      </c>
      <c r="F1010" s="9" t="s">
        <v>32</v>
      </c>
      <c r="G1010" s="9" t="s">
        <v>206</v>
      </c>
      <c r="H1010" s="11">
        <v>870.26</v>
      </c>
      <c r="I1010" s="11">
        <v>870.26</v>
      </c>
      <c r="J1010" s="11">
        <v>0</v>
      </c>
      <c r="K1010">
        <v>1</v>
      </c>
    </row>
    <row r="1011" spans="1:11" x14ac:dyDescent="0.25">
      <c r="A1011" s="9" t="s">
        <v>52</v>
      </c>
      <c r="B1011" s="9" t="s">
        <v>23</v>
      </c>
      <c r="C1011" s="10">
        <v>46013</v>
      </c>
      <c r="D1011" s="10">
        <v>46013</v>
      </c>
      <c r="E1011" s="9" t="s">
        <v>1440</v>
      </c>
      <c r="F1011" s="9" t="s">
        <v>32</v>
      </c>
      <c r="G1011" s="9" t="s">
        <v>112</v>
      </c>
      <c r="H1011" s="11">
        <v>1614.51</v>
      </c>
      <c r="I1011" s="11">
        <v>1614.51</v>
      </c>
      <c r="J1011" s="11">
        <v>0</v>
      </c>
      <c r="K1011">
        <v>1</v>
      </c>
    </row>
    <row r="1012" spans="1:11" x14ac:dyDescent="0.25">
      <c r="A1012" s="9" t="s">
        <v>52</v>
      </c>
      <c r="B1012" s="9" t="s">
        <v>23</v>
      </c>
      <c r="C1012" s="10">
        <v>46013</v>
      </c>
      <c r="D1012" s="10">
        <v>46013</v>
      </c>
      <c r="E1012" s="9" t="s">
        <v>1441</v>
      </c>
      <c r="F1012" s="9" t="s">
        <v>32</v>
      </c>
      <c r="G1012" s="9" t="s">
        <v>110</v>
      </c>
      <c r="H1012" s="11">
        <v>1038.7</v>
      </c>
      <c r="I1012" s="11">
        <v>1038.7</v>
      </c>
      <c r="J1012" s="11">
        <v>0</v>
      </c>
      <c r="K1012">
        <v>1</v>
      </c>
    </row>
    <row r="1013" spans="1:11" x14ac:dyDescent="0.25">
      <c r="A1013" s="9" t="s">
        <v>52</v>
      </c>
      <c r="B1013" s="9" t="s">
        <v>23</v>
      </c>
      <c r="C1013" s="10">
        <v>46013</v>
      </c>
      <c r="D1013" s="10">
        <v>46013</v>
      </c>
      <c r="E1013" s="9" t="s">
        <v>1442</v>
      </c>
      <c r="F1013" s="9" t="s">
        <v>32</v>
      </c>
      <c r="G1013" s="9" t="s">
        <v>78</v>
      </c>
      <c r="H1013" s="11">
        <v>2050.15</v>
      </c>
      <c r="I1013" s="11">
        <v>2050.15</v>
      </c>
      <c r="J1013" s="11">
        <v>0</v>
      </c>
      <c r="K1013">
        <v>1</v>
      </c>
    </row>
    <row r="1014" spans="1:11" x14ac:dyDescent="0.25">
      <c r="A1014" s="9" t="s">
        <v>52</v>
      </c>
      <c r="B1014" s="9" t="s">
        <v>23</v>
      </c>
      <c r="C1014" s="10">
        <v>46013</v>
      </c>
      <c r="D1014" s="10">
        <v>46013</v>
      </c>
      <c r="E1014" s="9" t="s">
        <v>1443</v>
      </c>
      <c r="F1014" s="9" t="s">
        <v>32</v>
      </c>
      <c r="G1014" s="9" t="s">
        <v>249</v>
      </c>
      <c r="H1014" s="11">
        <v>1495.24</v>
      </c>
      <c r="I1014" s="11">
        <v>1495.24</v>
      </c>
      <c r="J1014" s="11">
        <v>0</v>
      </c>
      <c r="K1014">
        <v>1</v>
      </c>
    </row>
    <row r="1015" spans="1:11" x14ac:dyDescent="0.25">
      <c r="A1015" s="9" t="s">
        <v>52</v>
      </c>
      <c r="B1015" s="9" t="s">
        <v>23</v>
      </c>
      <c r="C1015" s="10">
        <v>46013</v>
      </c>
      <c r="D1015" s="10">
        <v>46013</v>
      </c>
      <c r="E1015" s="9" t="s">
        <v>1444</v>
      </c>
      <c r="F1015" s="9" t="s">
        <v>32</v>
      </c>
      <c r="G1015" s="9" t="s">
        <v>359</v>
      </c>
      <c r="H1015" s="11">
        <v>2169.58</v>
      </c>
      <c r="I1015" s="11">
        <v>2169.58</v>
      </c>
      <c r="J1015" s="11">
        <v>0</v>
      </c>
      <c r="K1015">
        <v>1</v>
      </c>
    </row>
    <row r="1016" spans="1:11" x14ac:dyDescent="0.25">
      <c r="A1016" s="9" t="s">
        <v>52</v>
      </c>
      <c r="B1016" s="9" t="s">
        <v>23</v>
      </c>
      <c r="C1016" s="10">
        <v>46013</v>
      </c>
      <c r="D1016" s="10">
        <v>46013</v>
      </c>
      <c r="E1016" s="9" t="s">
        <v>1445</v>
      </c>
      <c r="F1016" s="9" t="s">
        <v>32</v>
      </c>
      <c r="G1016" s="9" t="s">
        <v>756</v>
      </c>
      <c r="H1016" s="11">
        <v>2784.92</v>
      </c>
      <c r="I1016" s="11">
        <v>2784.92</v>
      </c>
      <c r="J1016" s="11">
        <v>0</v>
      </c>
      <c r="K1016">
        <v>1</v>
      </c>
    </row>
    <row r="1017" spans="1:11" x14ac:dyDescent="0.25">
      <c r="A1017" s="9" t="s">
        <v>52</v>
      </c>
      <c r="B1017" s="9" t="s">
        <v>23</v>
      </c>
      <c r="C1017" s="10">
        <v>46013</v>
      </c>
      <c r="D1017" s="10">
        <v>46013</v>
      </c>
      <c r="E1017" s="9" t="s">
        <v>1446</v>
      </c>
      <c r="F1017" s="9" t="s">
        <v>32</v>
      </c>
      <c r="G1017" s="9" t="s">
        <v>811</v>
      </c>
      <c r="H1017" s="11">
        <v>1451.72</v>
      </c>
      <c r="I1017" s="11">
        <v>1451.72</v>
      </c>
      <c r="J1017" s="11">
        <v>0</v>
      </c>
      <c r="K1017">
        <v>1</v>
      </c>
    </row>
    <row r="1018" spans="1:11" x14ac:dyDescent="0.25">
      <c r="A1018" s="9" t="s">
        <v>52</v>
      </c>
      <c r="B1018" s="9" t="s">
        <v>23</v>
      </c>
      <c r="C1018" s="10">
        <v>46013</v>
      </c>
      <c r="D1018" s="10">
        <v>46013</v>
      </c>
      <c r="E1018" s="9" t="s">
        <v>1447</v>
      </c>
      <c r="F1018" s="9" t="s">
        <v>32</v>
      </c>
      <c r="G1018" s="9" t="s">
        <v>1167</v>
      </c>
      <c r="H1018" s="11">
        <v>271.87</v>
      </c>
      <c r="I1018" s="11">
        <v>271.87</v>
      </c>
      <c r="J1018" s="11">
        <v>0</v>
      </c>
      <c r="K1018">
        <v>1</v>
      </c>
    </row>
    <row r="1019" spans="1:11" x14ac:dyDescent="0.25">
      <c r="A1019" s="9" t="s">
        <v>52</v>
      </c>
      <c r="B1019" s="9" t="s">
        <v>23</v>
      </c>
      <c r="C1019" s="10">
        <v>46013</v>
      </c>
      <c r="D1019" s="10">
        <v>46013</v>
      </c>
      <c r="E1019" s="9" t="s">
        <v>1448</v>
      </c>
      <c r="F1019" s="9" t="s">
        <v>32</v>
      </c>
      <c r="G1019" s="9" t="s">
        <v>275</v>
      </c>
      <c r="H1019" s="11">
        <v>6503.44</v>
      </c>
      <c r="I1019" s="11">
        <v>6503.44</v>
      </c>
      <c r="J1019" s="11">
        <v>0</v>
      </c>
      <c r="K1019">
        <v>1</v>
      </c>
    </row>
    <row r="1020" spans="1:11" x14ac:dyDescent="0.25">
      <c r="A1020" s="9" t="s">
        <v>52</v>
      </c>
      <c r="B1020" s="9" t="s">
        <v>23</v>
      </c>
      <c r="C1020" s="10">
        <v>46013</v>
      </c>
      <c r="D1020" s="10">
        <v>46013</v>
      </c>
      <c r="E1020" s="9" t="s">
        <v>1449</v>
      </c>
      <c r="F1020" s="9" t="s">
        <v>32</v>
      </c>
      <c r="G1020" s="9" t="s">
        <v>106</v>
      </c>
      <c r="H1020" s="11">
        <v>2195.94</v>
      </c>
      <c r="I1020" s="11">
        <v>2195.94</v>
      </c>
      <c r="J1020" s="11">
        <v>0</v>
      </c>
      <c r="K1020">
        <v>1</v>
      </c>
    </row>
    <row r="1021" spans="1:11" x14ac:dyDescent="0.25">
      <c r="A1021" s="9" t="s">
        <v>52</v>
      </c>
      <c r="B1021" s="9" t="s">
        <v>23</v>
      </c>
      <c r="C1021" s="10">
        <v>46013</v>
      </c>
      <c r="D1021" s="10">
        <v>46013</v>
      </c>
      <c r="E1021" s="9" t="s">
        <v>1450</v>
      </c>
      <c r="F1021" s="9" t="s">
        <v>32</v>
      </c>
      <c r="G1021" s="9" t="s">
        <v>774</v>
      </c>
      <c r="H1021" s="11">
        <v>2280.6</v>
      </c>
      <c r="I1021" s="11">
        <v>2280.6</v>
      </c>
      <c r="J1021" s="11">
        <v>0</v>
      </c>
      <c r="K1021">
        <v>1</v>
      </c>
    </row>
    <row r="1022" spans="1:11" x14ac:dyDescent="0.25">
      <c r="A1022" s="9" t="s">
        <v>52</v>
      </c>
      <c r="B1022" s="9" t="s">
        <v>23</v>
      </c>
      <c r="C1022" s="10">
        <v>46013</v>
      </c>
      <c r="D1022" s="10">
        <v>46013</v>
      </c>
      <c r="E1022" s="9" t="s">
        <v>1451</v>
      </c>
      <c r="F1022" s="9" t="s">
        <v>32</v>
      </c>
      <c r="G1022" s="9" t="s">
        <v>224</v>
      </c>
      <c r="H1022" s="11">
        <v>9996.15</v>
      </c>
      <c r="I1022" s="11">
        <v>9996.15</v>
      </c>
      <c r="J1022" s="11">
        <v>0</v>
      </c>
      <c r="K1022">
        <v>1</v>
      </c>
    </row>
    <row r="1023" spans="1:11" x14ac:dyDescent="0.25">
      <c r="A1023" s="9" t="s">
        <v>52</v>
      </c>
      <c r="B1023" s="9" t="s">
        <v>23</v>
      </c>
      <c r="C1023" s="10">
        <v>46013</v>
      </c>
      <c r="D1023" s="10">
        <v>46013</v>
      </c>
      <c r="E1023" s="9" t="s">
        <v>1452</v>
      </c>
      <c r="F1023" s="9" t="s">
        <v>32</v>
      </c>
      <c r="G1023" s="9" t="s">
        <v>1418</v>
      </c>
      <c r="H1023" s="11">
        <v>1545.92</v>
      </c>
      <c r="I1023" s="11">
        <v>1545.92</v>
      </c>
      <c r="J1023" s="11">
        <v>0</v>
      </c>
      <c r="K1023">
        <v>1</v>
      </c>
    </row>
    <row r="1024" spans="1:11" x14ac:dyDescent="0.25">
      <c r="A1024" s="9" t="s">
        <v>52</v>
      </c>
      <c r="B1024" s="9" t="s">
        <v>23</v>
      </c>
      <c r="C1024" s="10">
        <v>46013</v>
      </c>
      <c r="D1024" s="10">
        <v>46013</v>
      </c>
      <c r="E1024" s="9" t="s">
        <v>1453</v>
      </c>
      <c r="F1024" s="9" t="s">
        <v>32</v>
      </c>
      <c r="G1024" s="9" t="s">
        <v>213</v>
      </c>
      <c r="H1024" s="11">
        <v>2316.79</v>
      </c>
      <c r="I1024" s="11">
        <v>2316.79</v>
      </c>
      <c r="J1024" s="11">
        <v>0</v>
      </c>
      <c r="K1024">
        <v>1</v>
      </c>
    </row>
    <row r="1025" spans="1:11" x14ac:dyDescent="0.25">
      <c r="A1025" s="9" t="s">
        <v>52</v>
      </c>
      <c r="B1025" s="9" t="s">
        <v>23</v>
      </c>
      <c r="C1025" s="10">
        <v>46013</v>
      </c>
      <c r="D1025" s="10">
        <v>46013</v>
      </c>
      <c r="E1025" s="9" t="s">
        <v>1454</v>
      </c>
      <c r="F1025" s="9" t="s">
        <v>32</v>
      </c>
      <c r="G1025" s="9" t="s">
        <v>828</v>
      </c>
      <c r="H1025" s="11">
        <v>2333.98</v>
      </c>
      <c r="I1025" s="11">
        <v>2333.98</v>
      </c>
      <c r="J1025" s="11">
        <v>0</v>
      </c>
      <c r="K1025">
        <v>1</v>
      </c>
    </row>
    <row r="1026" spans="1:11" x14ac:dyDescent="0.25">
      <c r="A1026" s="9" t="s">
        <v>52</v>
      </c>
      <c r="B1026" s="9" t="s">
        <v>23</v>
      </c>
      <c r="C1026" s="10">
        <v>46013</v>
      </c>
      <c r="D1026" s="10">
        <v>46013</v>
      </c>
      <c r="E1026" s="9" t="s">
        <v>1455</v>
      </c>
      <c r="F1026" s="9" t="s">
        <v>32</v>
      </c>
      <c r="G1026" s="9" t="s">
        <v>137</v>
      </c>
      <c r="H1026" s="11">
        <v>1608.62</v>
      </c>
      <c r="I1026" s="11">
        <v>1608.62</v>
      </c>
      <c r="J1026" s="11">
        <v>0</v>
      </c>
      <c r="K1026">
        <v>1</v>
      </c>
    </row>
    <row r="1027" spans="1:11" x14ac:dyDescent="0.25">
      <c r="A1027" s="9" t="s">
        <v>52</v>
      </c>
      <c r="B1027" s="9" t="s">
        <v>23</v>
      </c>
      <c r="C1027" s="10">
        <v>46013</v>
      </c>
      <c r="D1027" s="10">
        <v>46013</v>
      </c>
      <c r="E1027" s="9" t="s">
        <v>1456</v>
      </c>
      <c r="F1027" s="9" t="s">
        <v>32</v>
      </c>
      <c r="G1027" s="9" t="s">
        <v>377</v>
      </c>
      <c r="H1027" s="11">
        <v>2149.48</v>
      </c>
      <c r="I1027" s="11">
        <v>2149.48</v>
      </c>
      <c r="J1027" s="11">
        <v>0</v>
      </c>
      <c r="K1027">
        <v>1</v>
      </c>
    </row>
    <row r="1028" spans="1:11" x14ac:dyDescent="0.25">
      <c r="A1028" s="9" t="s">
        <v>52</v>
      </c>
      <c r="B1028" s="9" t="s">
        <v>23</v>
      </c>
      <c r="C1028" s="10">
        <v>46013</v>
      </c>
      <c r="D1028" s="10">
        <v>46013</v>
      </c>
      <c r="E1028" s="9" t="s">
        <v>1457</v>
      </c>
      <c r="F1028" s="9" t="s">
        <v>32</v>
      </c>
      <c r="G1028" s="9" t="s">
        <v>655</v>
      </c>
      <c r="H1028" s="11">
        <v>2143.2399999999998</v>
      </c>
      <c r="I1028" s="11">
        <v>2143.2399999999998</v>
      </c>
      <c r="J1028" s="11">
        <v>0</v>
      </c>
      <c r="K1028">
        <v>1</v>
      </c>
    </row>
    <row r="1029" spans="1:11" x14ac:dyDescent="0.25">
      <c r="A1029" s="9" t="s">
        <v>52</v>
      </c>
      <c r="B1029" s="9" t="s">
        <v>23</v>
      </c>
      <c r="C1029" s="10">
        <v>46013</v>
      </c>
      <c r="D1029" s="10">
        <v>46013</v>
      </c>
      <c r="E1029" s="9" t="s">
        <v>1458</v>
      </c>
      <c r="F1029" s="9" t="s">
        <v>32</v>
      </c>
      <c r="G1029" s="9" t="s">
        <v>820</v>
      </c>
      <c r="H1029" s="11">
        <v>2334.34</v>
      </c>
      <c r="I1029" s="11">
        <v>2334.34</v>
      </c>
      <c r="J1029" s="11">
        <v>0</v>
      </c>
      <c r="K1029">
        <v>1</v>
      </c>
    </row>
    <row r="1030" spans="1:11" x14ac:dyDescent="0.25">
      <c r="A1030" s="9" t="s">
        <v>52</v>
      </c>
      <c r="B1030" s="9" t="s">
        <v>23</v>
      </c>
      <c r="C1030" s="10">
        <v>46013</v>
      </c>
      <c r="D1030" s="10">
        <v>46013</v>
      </c>
      <c r="E1030" s="9" t="s">
        <v>1459</v>
      </c>
      <c r="F1030" s="9" t="s">
        <v>32</v>
      </c>
      <c r="G1030" s="9" t="s">
        <v>1004</v>
      </c>
      <c r="H1030" s="11">
        <v>1366.11</v>
      </c>
      <c r="I1030" s="11">
        <v>1366.11</v>
      </c>
      <c r="J1030" s="11">
        <v>0</v>
      </c>
      <c r="K1030">
        <v>1</v>
      </c>
    </row>
    <row r="1031" spans="1:11" x14ac:dyDescent="0.25">
      <c r="A1031" s="9" t="s">
        <v>52</v>
      </c>
      <c r="B1031" s="9" t="s">
        <v>23</v>
      </c>
      <c r="C1031" s="10">
        <v>46013</v>
      </c>
      <c r="D1031" s="10">
        <v>46013</v>
      </c>
      <c r="E1031" s="9" t="s">
        <v>1460</v>
      </c>
      <c r="F1031" s="9" t="s">
        <v>32</v>
      </c>
      <c r="G1031" s="9" t="s">
        <v>1204</v>
      </c>
      <c r="H1031" s="11">
        <v>1045.68</v>
      </c>
      <c r="I1031" s="11">
        <v>1045.68</v>
      </c>
      <c r="J1031" s="11">
        <v>0</v>
      </c>
      <c r="K1031">
        <v>1</v>
      </c>
    </row>
    <row r="1032" spans="1:11" x14ac:dyDescent="0.25">
      <c r="A1032" s="9" t="s">
        <v>52</v>
      </c>
      <c r="B1032" s="9" t="s">
        <v>23</v>
      </c>
      <c r="C1032" s="10">
        <v>46013</v>
      </c>
      <c r="D1032" s="10">
        <v>46013</v>
      </c>
      <c r="E1032" s="9" t="s">
        <v>1461</v>
      </c>
      <c r="F1032" s="9" t="s">
        <v>32</v>
      </c>
      <c r="G1032" s="9" t="s">
        <v>1239</v>
      </c>
      <c r="H1032" s="11">
        <v>7609.19</v>
      </c>
      <c r="I1032" s="11">
        <v>7609.19</v>
      </c>
      <c r="J1032" s="11">
        <v>0</v>
      </c>
      <c r="K1032">
        <v>1</v>
      </c>
    </row>
    <row r="1033" spans="1:11" x14ac:dyDescent="0.25">
      <c r="A1033" s="9" t="s">
        <v>52</v>
      </c>
      <c r="B1033" s="9" t="s">
        <v>23</v>
      </c>
      <c r="C1033" s="10">
        <v>46013</v>
      </c>
      <c r="D1033" s="10">
        <v>46013</v>
      </c>
      <c r="E1033" s="9" t="s">
        <v>1462</v>
      </c>
      <c r="F1033" s="9" t="s">
        <v>32</v>
      </c>
      <c r="G1033" s="9" t="s">
        <v>60</v>
      </c>
      <c r="H1033" s="11">
        <v>3134.44</v>
      </c>
      <c r="I1033" s="11">
        <v>3134.44</v>
      </c>
      <c r="J1033" s="11">
        <v>0</v>
      </c>
      <c r="K1033">
        <v>1</v>
      </c>
    </row>
    <row r="1034" spans="1:11" x14ac:dyDescent="0.25">
      <c r="A1034" s="9" t="s">
        <v>52</v>
      </c>
      <c r="B1034" s="9" t="s">
        <v>23</v>
      </c>
      <c r="C1034" s="10">
        <v>46013</v>
      </c>
      <c r="D1034" s="10">
        <v>46013</v>
      </c>
      <c r="E1034" s="9" t="s">
        <v>1463</v>
      </c>
      <c r="F1034" s="9" t="s">
        <v>141</v>
      </c>
      <c r="G1034" s="9" t="s">
        <v>1464</v>
      </c>
      <c r="H1034" s="11">
        <v>-496927.66</v>
      </c>
      <c r="I1034" s="11">
        <v>-496927.66</v>
      </c>
      <c r="J1034" s="11">
        <v>0</v>
      </c>
      <c r="K1034">
        <v>1</v>
      </c>
    </row>
    <row r="1035" spans="1:11" x14ac:dyDescent="0.25">
      <c r="A1035" s="9" t="s">
        <v>52</v>
      </c>
      <c r="B1035" s="9" t="s">
        <v>23</v>
      </c>
      <c r="C1035" s="10">
        <v>46013</v>
      </c>
      <c r="D1035" s="10">
        <v>46013</v>
      </c>
      <c r="E1035" s="9" t="s">
        <v>1465</v>
      </c>
      <c r="F1035" s="9" t="s">
        <v>32</v>
      </c>
      <c r="G1035" s="9" t="s">
        <v>275</v>
      </c>
      <c r="H1035" s="11">
        <v>2363.66</v>
      </c>
      <c r="I1035" s="11">
        <v>2363.66</v>
      </c>
      <c r="J1035" s="11">
        <v>0</v>
      </c>
      <c r="K1035">
        <v>1</v>
      </c>
    </row>
    <row r="1036" spans="1:11" x14ac:dyDescent="0.25">
      <c r="A1036" s="9" t="s">
        <v>52</v>
      </c>
      <c r="B1036" s="9" t="s">
        <v>23</v>
      </c>
      <c r="C1036" s="10">
        <v>46013</v>
      </c>
      <c r="D1036" s="10">
        <v>46013</v>
      </c>
      <c r="E1036" s="9" t="s">
        <v>1466</v>
      </c>
      <c r="F1036" s="9" t="s">
        <v>141</v>
      </c>
      <c r="G1036" s="9" t="s">
        <v>1467</v>
      </c>
      <c r="H1036" s="11">
        <v>-389888.06</v>
      </c>
      <c r="I1036" s="11">
        <v>-389888.06</v>
      </c>
      <c r="J1036" s="11">
        <v>0</v>
      </c>
      <c r="K1036">
        <v>1</v>
      </c>
    </row>
    <row r="1037" spans="1:11" x14ac:dyDescent="0.25">
      <c r="A1037" s="9" t="s">
        <v>52</v>
      </c>
      <c r="B1037" s="9" t="s">
        <v>23</v>
      </c>
      <c r="C1037" s="10">
        <v>46013</v>
      </c>
      <c r="D1037" s="10">
        <v>46013</v>
      </c>
      <c r="E1037" s="9" t="s">
        <v>1468</v>
      </c>
      <c r="F1037" s="9" t="s">
        <v>141</v>
      </c>
      <c r="G1037" s="9" t="s">
        <v>1469</v>
      </c>
      <c r="H1037" s="11">
        <v>-228590.1</v>
      </c>
      <c r="I1037" s="11">
        <v>-228590.1</v>
      </c>
      <c r="J1037" s="11">
        <v>0</v>
      </c>
      <c r="K1037">
        <v>1</v>
      </c>
    </row>
    <row r="1038" spans="1:11" x14ac:dyDescent="0.25">
      <c r="A1038" s="9" t="s">
        <v>52</v>
      </c>
      <c r="B1038" s="9" t="s">
        <v>23</v>
      </c>
      <c r="C1038" s="10">
        <v>46013</v>
      </c>
      <c r="D1038" s="10">
        <v>46013</v>
      </c>
      <c r="E1038" s="9" t="s">
        <v>1470</v>
      </c>
      <c r="F1038" s="9" t="s">
        <v>32</v>
      </c>
      <c r="G1038" s="9" t="s">
        <v>469</v>
      </c>
      <c r="H1038" s="11">
        <v>664.63</v>
      </c>
      <c r="I1038" s="11">
        <v>664.63</v>
      </c>
      <c r="J1038" s="11">
        <v>0</v>
      </c>
      <c r="K1038">
        <v>1</v>
      </c>
    </row>
    <row r="1039" spans="1:11" x14ac:dyDescent="0.25">
      <c r="A1039" s="9" t="s">
        <v>52</v>
      </c>
      <c r="B1039" s="9" t="s">
        <v>23</v>
      </c>
      <c r="C1039" s="10">
        <v>46013</v>
      </c>
      <c r="D1039" s="10">
        <v>46013</v>
      </c>
      <c r="E1039" s="9" t="s">
        <v>1471</v>
      </c>
      <c r="F1039" s="9" t="s">
        <v>141</v>
      </c>
      <c r="G1039" s="9" t="s">
        <v>1472</v>
      </c>
      <c r="H1039" s="11">
        <v>-102887.88</v>
      </c>
      <c r="I1039" s="11">
        <v>-102887.88</v>
      </c>
      <c r="J1039" s="11">
        <v>0</v>
      </c>
      <c r="K1039">
        <v>1</v>
      </c>
    </row>
    <row r="1040" spans="1:11" x14ac:dyDescent="0.25">
      <c r="A1040" s="9" t="s">
        <v>52</v>
      </c>
      <c r="B1040" s="9" t="s">
        <v>23</v>
      </c>
      <c r="C1040" s="10">
        <v>46013</v>
      </c>
      <c r="D1040" s="10">
        <v>46013</v>
      </c>
      <c r="E1040" s="9" t="s">
        <v>1473</v>
      </c>
      <c r="F1040" s="9" t="s">
        <v>32</v>
      </c>
      <c r="G1040" s="9" t="s">
        <v>474</v>
      </c>
      <c r="H1040" s="11">
        <v>1684.71</v>
      </c>
      <c r="I1040" s="11">
        <v>1684.71</v>
      </c>
      <c r="J1040" s="11">
        <v>0</v>
      </c>
      <c r="K1040">
        <v>1</v>
      </c>
    </row>
    <row r="1041" spans="1:11" x14ac:dyDescent="0.25">
      <c r="A1041" s="9" t="s">
        <v>52</v>
      </c>
      <c r="B1041" s="9" t="s">
        <v>23</v>
      </c>
      <c r="C1041" s="10">
        <v>46013</v>
      </c>
      <c r="D1041" s="10">
        <v>46013</v>
      </c>
      <c r="E1041" s="9" t="s">
        <v>1474</v>
      </c>
      <c r="F1041" s="9" t="s">
        <v>32</v>
      </c>
      <c r="G1041" s="9" t="s">
        <v>252</v>
      </c>
      <c r="H1041" s="11">
        <v>12303.39</v>
      </c>
      <c r="I1041" s="11">
        <v>12303.39</v>
      </c>
      <c r="J1041" s="11">
        <v>0</v>
      </c>
      <c r="K1041">
        <v>1</v>
      </c>
    </row>
    <row r="1042" spans="1:11" x14ac:dyDescent="0.25">
      <c r="A1042" s="9" t="s">
        <v>52</v>
      </c>
      <c r="B1042" s="9" t="s">
        <v>23</v>
      </c>
      <c r="C1042" s="10">
        <v>46013</v>
      </c>
      <c r="D1042" s="10">
        <v>46013</v>
      </c>
      <c r="E1042" s="9" t="s">
        <v>1475</v>
      </c>
      <c r="F1042" s="9" t="s">
        <v>32</v>
      </c>
      <c r="G1042" s="9" t="s">
        <v>270</v>
      </c>
      <c r="H1042" s="11">
        <v>6907</v>
      </c>
      <c r="I1042" s="11">
        <v>6907</v>
      </c>
      <c r="J1042" s="11">
        <v>0</v>
      </c>
      <c r="K1042">
        <v>1</v>
      </c>
    </row>
    <row r="1043" spans="1:11" x14ac:dyDescent="0.25">
      <c r="A1043" s="9" t="s">
        <v>52</v>
      </c>
      <c r="B1043" s="9" t="s">
        <v>23</v>
      </c>
      <c r="C1043" s="10">
        <v>46013</v>
      </c>
      <c r="D1043" s="10">
        <v>46013</v>
      </c>
      <c r="E1043" s="9" t="s">
        <v>1476</v>
      </c>
      <c r="F1043" s="9" t="s">
        <v>32</v>
      </c>
      <c r="G1043" s="9" t="s">
        <v>1477</v>
      </c>
      <c r="H1043" s="11">
        <v>5020.54</v>
      </c>
      <c r="I1043" s="11">
        <v>5020.54</v>
      </c>
      <c r="J1043" s="11">
        <v>0</v>
      </c>
      <c r="K1043">
        <v>1</v>
      </c>
    </row>
    <row r="1044" spans="1:11" x14ac:dyDescent="0.25">
      <c r="A1044" s="9" t="s">
        <v>52</v>
      </c>
      <c r="B1044" s="9" t="s">
        <v>23</v>
      </c>
      <c r="C1044" s="10">
        <v>46013</v>
      </c>
      <c r="D1044" s="10">
        <v>46013</v>
      </c>
      <c r="E1044" s="9" t="s">
        <v>1478</v>
      </c>
      <c r="F1044" s="9" t="s">
        <v>32</v>
      </c>
      <c r="G1044" s="9" t="s">
        <v>279</v>
      </c>
      <c r="H1044" s="11">
        <v>5692.47</v>
      </c>
      <c r="I1044" s="11">
        <v>5692.47</v>
      </c>
      <c r="J1044" s="11">
        <v>0</v>
      </c>
      <c r="K1044">
        <v>1</v>
      </c>
    </row>
    <row r="1045" spans="1:11" x14ac:dyDescent="0.25">
      <c r="A1045" s="9" t="s">
        <v>52</v>
      </c>
      <c r="B1045" s="9" t="s">
        <v>23</v>
      </c>
      <c r="C1045" s="10">
        <v>46013</v>
      </c>
      <c r="D1045" s="10">
        <v>46013</v>
      </c>
      <c r="E1045" s="9" t="s">
        <v>1479</v>
      </c>
      <c r="F1045" s="9" t="s">
        <v>32</v>
      </c>
      <c r="G1045" s="9" t="s">
        <v>1480</v>
      </c>
      <c r="H1045" s="11">
        <v>2359.7600000000002</v>
      </c>
      <c r="I1045" s="11">
        <v>2359.7600000000002</v>
      </c>
      <c r="J1045" s="11">
        <v>0</v>
      </c>
      <c r="K1045">
        <v>1</v>
      </c>
    </row>
    <row r="1046" spans="1:11" x14ac:dyDescent="0.25">
      <c r="A1046" s="9" t="s">
        <v>52</v>
      </c>
      <c r="B1046" s="9" t="s">
        <v>23</v>
      </c>
      <c r="C1046" s="10">
        <v>46013</v>
      </c>
      <c r="D1046" s="10">
        <v>46013</v>
      </c>
      <c r="E1046" s="9" t="s">
        <v>1481</v>
      </c>
      <c r="F1046" s="9" t="s">
        <v>32</v>
      </c>
      <c r="G1046" s="9" t="s">
        <v>243</v>
      </c>
      <c r="H1046" s="11">
        <v>11999.46</v>
      </c>
      <c r="I1046" s="11">
        <v>11999.46</v>
      </c>
      <c r="J1046" s="11">
        <v>0</v>
      </c>
      <c r="K1046">
        <v>1</v>
      </c>
    </row>
    <row r="1047" spans="1:11" x14ac:dyDescent="0.25">
      <c r="A1047" s="9" t="s">
        <v>52</v>
      </c>
      <c r="B1047" s="9" t="s">
        <v>23</v>
      </c>
      <c r="C1047" s="10">
        <v>46013</v>
      </c>
      <c r="D1047" s="10">
        <v>46013</v>
      </c>
      <c r="E1047" s="9" t="s">
        <v>1482</v>
      </c>
      <c r="F1047" s="9" t="s">
        <v>32</v>
      </c>
      <c r="G1047" s="9" t="s">
        <v>245</v>
      </c>
      <c r="H1047" s="11">
        <v>4129.09</v>
      </c>
      <c r="I1047" s="11">
        <v>4129.09</v>
      </c>
      <c r="J1047" s="11">
        <v>0</v>
      </c>
      <c r="K1047">
        <v>1</v>
      </c>
    </row>
    <row r="1048" spans="1:11" x14ac:dyDescent="0.25">
      <c r="A1048" s="9" t="s">
        <v>52</v>
      </c>
      <c r="B1048" s="9" t="s">
        <v>23</v>
      </c>
      <c r="C1048" s="10">
        <v>46013</v>
      </c>
      <c r="D1048" s="10">
        <v>46013</v>
      </c>
      <c r="E1048" s="9" t="s">
        <v>1483</v>
      </c>
      <c r="F1048" s="9" t="s">
        <v>32</v>
      </c>
      <c r="G1048" s="9" t="s">
        <v>235</v>
      </c>
      <c r="H1048" s="11">
        <v>13683.1</v>
      </c>
      <c r="I1048" s="11">
        <v>13683.1</v>
      </c>
      <c r="J1048" s="11">
        <v>0</v>
      </c>
      <c r="K1048">
        <v>1</v>
      </c>
    </row>
    <row r="1049" spans="1:11" x14ac:dyDescent="0.25">
      <c r="A1049" s="9" t="s">
        <v>52</v>
      </c>
      <c r="B1049" s="9" t="s">
        <v>23</v>
      </c>
      <c r="C1049" s="10">
        <v>46013</v>
      </c>
      <c r="D1049" s="10">
        <v>46013</v>
      </c>
      <c r="E1049" s="9" t="s">
        <v>1484</v>
      </c>
      <c r="F1049" s="9" t="s">
        <v>141</v>
      </c>
      <c r="G1049" s="9" t="s">
        <v>1485</v>
      </c>
      <c r="H1049" s="11">
        <v>-32463.97</v>
      </c>
      <c r="I1049" s="11">
        <v>-32463.97</v>
      </c>
      <c r="J1049" s="11">
        <v>0</v>
      </c>
      <c r="K1049">
        <v>1</v>
      </c>
    </row>
    <row r="1050" spans="1:11" x14ac:dyDescent="0.25">
      <c r="A1050" s="9" t="s">
        <v>52</v>
      </c>
      <c r="B1050" s="9" t="s">
        <v>23</v>
      </c>
      <c r="C1050" s="10">
        <v>46013</v>
      </c>
      <c r="D1050" s="10">
        <v>46013</v>
      </c>
      <c r="E1050" s="9" t="s">
        <v>1486</v>
      </c>
      <c r="F1050" s="9" t="s">
        <v>32</v>
      </c>
      <c r="G1050" s="9" t="s">
        <v>464</v>
      </c>
      <c r="H1050" s="11">
        <v>1445.49</v>
      </c>
      <c r="I1050" s="11">
        <v>1445.49</v>
      </c>
      <c r="J1050" s="11">
        <v>0</v>
      </c>
      <c r="K1050">
        <v>1</v>
      </c>
    </row>
    <row r="1051" spans="1:11" x14ac:dyDescent="0.25">
      <c r="A1051" s="9" t="s">
        <v>52</v>
      </c>
      <c r="B1051" s="9" t="s">
        <v>23</v>
      </c>
      <c r="C1051" s="10">
        <v>46013</v>
      </c>
      <c r="D1051" s="10">
        <v>46013</v>
      </c>
      <c r="E1051" s="9" t="s">
        <v>1487</v>
      </c>
      <c r="F1051" s="9" t="s">
        <v>32</v>
      </c>
      <c r="G1051" s="9" t="s">
        <v>108</v>
      </c>
      <c r="H1051" s="11">
        <v>595.21</v>
      </c>
      <c r="I1051" s="11">
        <v>595.21</v>
      </c>
      <c r="J1051" s="11">
        <v>0</v>
      </c>
      <c r="K1051">
        <v>1</v>
      </c>
    </row>
    <row r="1052" spans="1:11" x14ac:dyDescent="0.25">
      <c r="A1052" s="9" t="s">
        <v>52</v>
      </c>
      <c r="B1052" s="9" t="s">
        <v>23</v>
      </c>
      <c r="C1052" s="10">
        <v>46013</v>
      </c>
      <c r="D1052" s="10">
        <v>46013</v>
      </c>
      <c r="E1052" s="9" t="s">
        <v>1488</v>
      </c>
      <c r="F1052" s="9" t="s">
        <v>32</v>
      </c>
      <c r="G1052" s="9" t="s">
        <v>494</v>
      </c>
      <c r="H1052" s="11">
        <v>2479.79</v>
      </c>
      <c r="I1052" s="11">
        <v>2479.79</v>
      </c>
      <c r="J1052" s="11">
        <v>0</v>
      </c>
      <c r="K1052">
        <v>1</v>
      </c>
    </row>
    <row r="1053" spans="1:11" x14ac:dyDescent="0.25">
      <c r="A1053" s="9" t="s">
        <v>52</v>
      </c>
      <c r="B1053" s="9" t="s">
        <v>23</v>
      </c>
      <c r="C1053" s="10">
        <v>46013</v>
      </c>
      <c r="D1053" s="10">
        <v>46013</v>
      </c>
      <c r="E1053" s="9" t="s">
        <v>1489</v>
      </c>
      <c r="F1053" s="9" t="s">
        <v>32</v>
      </c>
      <c r="G1053" s="9" t="s">
        <v>1490</v>
      </c>
      <c r="H1053" s="11">
        <v>2798.22</v>
      </c>
      <c r="I1053" s="11">
        <v>2798.22</v>
      </c>
      <c r="J1053" s="11">
        <v>0</v>
      </c>
      <c r="K1053">
        <v>1</v>
      </c>
    </row>
    <row r="1054" spans="1:11" x14ac:dyDescent="0.25">
      <c r="A1054" s="9" t="s">
        <v>52</v>
      </c>
      <c r="B1054" s="9" t="s">
        <v>23</v>
      </c>
      <c r="C1054" s="10">
        <v>46013</v>
      </c>
      <c r="D1054" s="10">
        <v>46013</v>
      </c>
      <c r="E1054" s="9" t="s">
        <v>1491</v>
      </c>
      <c r="F1054" s="9" t="s">
        <v>141</v>
      </c>
      <c r="G1054" s="9" t="s">
        <v>1492</v>
      </c>
      <c r="H1054" s="11">
        <v>-29252.93</v>
      </c>
      <c r="I1054" s="11">
        <v>-29252.93</v>
      </c>
      <c r="J1054" s="11">
        <v>0</v>
      </c>
      <c r="K1054">
        <v>1</v>
      </c>
    </row>
    <row r="1055" spans="1:11" x14ac:dyDescent="0.25">
      <c r="A1055" s="9" t="s">
        <v>52</v>
      </c>
      <c r="B1055" s="9" t="s">
        <v>23</v>
      </c>
      <c r="C1055" s="10">
        <v>46013</v>
      </c>
      <c r="D1055" s="10">
        <v>46013</v>
      </c>
      <c r="E1055" s="9" t="s">
        <v>1493</v>
      </c>
      <c r="F1055" s="9" t="s">
        <v>32</v>
      </c>
      <c r="G1055" s="9" t="s">
        <v>1216</v>
      </c>
      <c r="H1055" s="11">
        <v>1478.11</v>
      </c>
      <c r="I1055" s="11">
        <v>1478.11</v>
      </c>
      <c r="J1055" s="11">
        <v>0</v>
      </c>
      <c r="K1055">
        <v>1</v>
      </c>
    </row>
    <row r="1056" spans="1:11" x14ac:dyDescent="0.25">
      <c r="A1056" s="9" t="s">
        <v>52</v>
      </c>
      <c r="B1056" s="9" t="s">
        <v>23</v>
      </c>
      <c r="C1056" s="10">
        <v>46013</v>
      </c>
      <c r="D1056" s="10">
        <v>46013</v>
      </c>
      <c r="E1056" s="9" t="s">
        <v>1494</v>
      </c>
      <c r="F1056" s="9" t="s">
        <v>32</v>
      </c>
      <c r="G1056" s="9" t="s">
        <v>259</v>
      </c>
      <c r="H1056" s="11">
        <v>8295.5499999999993</v>
      </c>
      <c r="I1056" s="11">
        <v>8295.5499999999993</v>
      </c>
      <c r="J1056" s="11">
        <v>0</v>
      </c>
      <c r="K1056">
        <v>1</v>
      </c>
    </row>
    <row r="1057" spans="1:11" x14ac:dyDescent="0.25">
      <c r="A1057" s="9" t="s">
        <v>52</v>
      </c>
      <c r="B1057" s="9" t="s">
        <v>23</v>
      </c>
      <c r="C1057" s="10">
        <v>46013</v>
      </c>
      <c r="D1057" s="10">
        <v>46013</v>
      </c>
      <c r="E1057" s="9" t="s">
        <v>1495</v>
      </c>
      <c r="F1057" s="9" t="s">
        <v>141</v>
      </c>
      <c r="G1057" s="9" t="s">
        <v>1496</v>
      </c>
      <c r="H1057" s="11">
        <v>-28199.8</v>
      </c>
      <c r="I1057" s="11">
        <v>-28199.8</v>
      </c>
      <c r="J1057" s="11">
        <v>0</v>
      </c>
      <c r="K1057">
        <v>1</v>
      </c>
    </row>
    <row r="1058" spans="1:11" x14ac:dyDescent="0.25">
      <c r="A1058" s="9" t="s">
        <v>52</v>
      </c>
      <c r="B1058" s="9" t="s">
        <v>23</v>
      </c>
      <c r="C1058" s="10">
        <v>46013</v>
      </c>
      <c r="D1058" s="10">
        <v>46013</v>
      </c>
      <c r="E1058" s="9" t="s">
        <v>1497</v>
      </c>
      <c r="F1058" s="9" t="s">
        <v>32</v>
      </c>
      <c r="G1058" s="9" t="s">
        <v>230</v>
      </c>
      <c r="H1058" s="11">
        <v>9410.6200000000008</v>
      </c>
      <c r="I1058" s="11">
        <v>9410.6200000000008</v>
      </c>
      <c r="J1058" s="11">
        <v>0</v>
      </c>
      <c r="K1058">
        <v>1</v>
      </c>
    </row>
    <row r="1059" spans="1:11" x14ac:dyDescent="0.25">
      <c r="A1059" s="9" t="s">
        <v>52</v>
      </c>
      <c r="B1059" s="9" t="s">
        <v>23</v>
      </c>
      <c r="C1059" s="10">
        <v>46013</v>
      </c>
      <c r="D1059" s="10">
        <v>46013</v>
      </c>
      <c r="E1059" s="9" t="s">
        <v>1498</v>
      </c>
      <c r="F1059" s="9" t="s">
        <v>32</v>
      </c>
      <c r="G1059" s="9" t="s">
        <v>520</v>
      </c>
      <c r="H1059" s="11">
        <v>1247.01</v>
      </c>
      <c r="I1059" s="11">
        <v>1247.01</v>
      </c>
      <c r="J1059" s="11">
        <v>0</v>
      </c>
      <c r="K1059">
        <v>1</v>
      </c>
    </row>
    <row r="1060" spans="1:11" x14ac:dyDescent="0.25">
      <c r="A1060" s="9" t="s">
        <v>52</v>
      </c>
      <c r="B1060" s="9" t="s">
        <v>23</v>
      </c>
      <c r="C1060" s="10">
        <v>46013</v>
      </c>
      <c r="D1060" s="10">
        <v>46013</v>
      </c>
      <c r="E1060" s="9" t="s">
        <v>1499</v>
      </c>
      <c r="F1060" s="9" t="s">
        <v>32</v>
      </c>
      <c r="G1060" s="9" t="s">
        <v>226</v>
      </c>
      <c r="H1060" s="11">
        <v>10072.67</v>
      </c>
      <c r="I1060" s="11">
        <v>10072.67</v>
      </c>
      <c r="J1060" s="11">
        <v>0</v>
      </c>
      <c r="K1060">
        <v>1</v>
      </c>
    </row>
    <row r="1061" spans="1:11" x14ac:dyDescent="0.25">
      <c r="A1061" s="9" t="s">
        <v>52</v>
      </c>
      <c r="B1061" s="9" t="s">
        <v>23</v>
      </c>
      <c r="C1061" s="10">
        <v>46013</v>
      </c>
      <c r="D1061" s="10">
        <v>46013</v>
      </c>
      <c r="E1061" s="9" t="s">
        <v>1500</v>
      </c>
      <c r="F1061" s="9" t="s">
        <v>32</v>
      </c>
      <c r="G1061" s="9" t="s">
        <v>309</v>
      </c>
      <c r="H1061" s="11">
        <v>3755.77</v>
      </c>
      <c r="I1061" s="11">
        <v>3755.77</v>
      </c>
      <c r="J1061" s="11">
        <v>0</v>
      </c>
      <c r="K1061">
        <v>1</v>
      </c>
    </row>
    <row r="1062" spans="1:11" x14ac:dyDescent="0.25">
      <c r="A1062" s="9" t="s">
        <v>52</v>
      </c>
      <c r="B1062" s="9" t="s">
        <v>23</v>
      </c>
      <c r="C1062" s="10">
        <v>46013</v>
      </c>
      <c r="D1062" s="10">
        <v>46013</v>
      </c>
      <c r="E1062" s="9" t="s">
        <v>1501</v>
      </c>
      <c r="F1062" s="9" t="s">
        <v>32</v>
      </c>
      <c r="G1062" s="9" t="s">
        <v>224</v>
      </c>
      <c r="H1062" s="11">
        <v>9720.26</v>
      </c>
      <c r="I1062" s="11">
        <v>9720.26</v>
      </c>
      <c r="J1062" s="11">
        <v>0</v>
      </c>
      <c r="K1062">
        <v>1</v>
      </c>
    </row>
    <row r="1063" spans="1:11" x14ac:dyDescent="0.25">
      <c r="A1063" s="9" t="s">
        <v>52</v>
      </c>
      <c r="B1063" s="9" t="s">
        <v>23</v>
      </c>
      <c r="C1063" s="10">
        <v>46013</v>
      </c>
      <c r="D1063" s="10">
        <v>46013</v>
      </c>
      <c r="E1063" s="9" t="s">
        <v>1502</v>
      </c>
      <c r="F1063" s="9" t="s">
        <v>32</v>
      </c>
      <c r="G1063" s="9" t="s">
        <v>442</v>
      </c>
      <c r="H1063" s="11">
        <v>6998.26</v>
      </c>
      <c r="I1063" s="11">
        <v>6998.26</v>
      </c>
      <c r="J1063" s="11">
        <v>0</v>
      </c>
      <c r="K1063">
        <v>1</v>
      </c>
    </row>
    <row r="1064" spans="1:11" x14ac:dyDescent="0.25">
      <c r="A1064" s="9" t="s">
        <v>52</v>
      </c>
      <c r="B1064" s="9" t="s">
        <v>23</v>
      </c>
      <c r="C1064" s="10">
        <v>46013</v>
      </c>
      <c r="D1064" s="10">
        <v>46013</v>
      </c>
      <c r="E1064" s="9" t="s">
        <v>1503</v>
      </c>
      <c r="F1064" s="9" t="s">
        <v>32</v>
      </c>
      <c r="G1064" s="9" t="s">
        <v>184</v>
      </c>
      <c r="H1064" s="11">
        <v>917.6</v>
      </c>
      <c r="I1064" s="11">
        <v>917.6</v>
      </c>
      <c r="J1064" s="11">
        <v>0</v>
      </c>
      <c r="K1064">
        <v>1</v>
      </c>
    </row>
    <row r="1065" spans="1:11" x14ac:dyDescent="0.25">
      <c r="A1065" s="9" t="s">
        <v>52</v>
      </c>
      <c r="B1065" s="9" t="s">
        <v>23</v>
      </c>
      <c r="C1065" s="10">
        <v>46013</v>
      </c>
      <c r="D1065" s="10">
        <v>46013</v>
      </c>
      <c r="E1065" s="9" t="s">
        <v>1504</v>
      </c>
      <c r="F1065" s="9" t="s">
        <v>32</v>
      </c>
      <c r="G1065" s="9" t="s">
        <v>266</v>
      </c>
      <c r="H1065" s="11">
        <v>22536.11</v>
      </c>
      <c r="I1065" s="11">
        <v>22536.11</v>
      </c>
      <c r="J1065" s="11">
        <v>0</v>
      </c>
      <c r="K1065">
        <v>1</v>
      </c>
    </row>
    <row r="1066" spans="1:11" x14ac:dyDescent="0.25">
      <c r="A1066" s="9" t="s">
        <v>52</v>
      </c>
      <c r="B1066" s="9" t="s">
        <v>23</v>
      </c>
      <c r="C1066" s="10">
        <v>46013</v>
      </c>
      <c r="D1066" s="10">
        <v>46013</v>
      </c>
      <c r="E1066" s="9" t="s">
        <v>1505</v>
      </c>
      <c r="F1066" s="9" t="s">
        <v>32</v>
      </c>
      <c r="G1066" s="9" t="s">
        <v>247</v>
      </c>
      <c r="H1066" s="11">
        <v>9129.07</v>
      </c>
      <c r="I1066" s="11">
        <v>9129.07</v>
      </c>
      <c r="J1066" s="11">
        <v>0</v>
      </c>
      <c r="K1066">
        <v>1</v>
      </c>
    </row>
    <row r="1067" spans="1:11" x14ac:dyDescent="0.25">
      <c r="A1067" s="9" t="s">
        <v>52</v>
      </c>
      <c r="B1067" s="9" t="s">
        <v>23</v>
      </c>
      <c r="C1067" s="10">
        <v>46013</v>
      </c>
      <c r="D1067" s="10">
        <v>46013</v>
      </c>
      <c r="E1067" s="9" t="s">
        <v>1506</v>
      </c>
      <c r="F1067" s="9" t="s">
        <v>32</v>
      </c>
      <c r="G1067" s="9" t="s">
        <v>64</v>
      </c>
      <c r="H1067" s="11">
        <v>2912.56</v>
      </c>
      <c r="I1067" s="11">
        <v>2912.56</v>
      </c>
      <c r="J1067" s="11">
        <v>0</v>
      </c>
      <c r="K1067">
        <v>1</v>
      </c>
    </row>
    <row r="1068" spans="1:11" x14ac:dyDescent="0.25">
      <c r="A1068" s="9" t="s">
        <v>52</v>
      </c>
      <c r="B1068" s="9" t="s">
        <v>23</v>
      </c>
      <c r="C1068" s="10">
        <v>46013</v>
      </c>
      <c r="D1068" s="10">
        <v>46013</v>
      </c>
      <c r="E1068" s="9" t="s">
        <v>1507</v>
      </c>
      <c r="F1068" s="9" t="s">
        <v>32</v>
      </c>
      <c r="G1068" s="9" t="s">
        <v>224</v>
      </c>
      <c r="H1068" s="11">
        <v>11495.49</v>
      </c>
      <c r="I1068" s="11">
        <v>11495.49</v>
      </c>
      <c r="J1068" s="11">
        <v>0</v>
      </c>
      <c r="K1068">
        <v>1</v>
      </c>
    </row>
    <row r="1069" spans="1:11" x14ac:dyDescent="0.25">
      <c r="A1069" s="9" t="s">
        <v>52</v>
      </c>
      <c r="B1069" s="9" t="s">
        <v>23</v>
      </c>
      <c r="C1069" s="10">
        <v>46013</v>
      </c>
      <c r="D1069" s="10">
        <v>46013</v>
      </c>
      <c r="E1069" s="9" t="s">
        <v>1508</v>
      </c>
      <c r="F1069" s="9" t="s">
        <v>32</v>
      </c>
      <c r="G1069" s="9" t="s">
        <v>122</v>
      </c>
      <c r="H1069" s="11">
        <v>2550.63</v>
      </c>
      <c r="I1069" s="11">
        <v>2550.63</v>
      </c>
      <c r="J1069" s="11">
        <v>0</v>
      </c>
      <c r="K1069">
        <v>1</v>
      </c>
    </row>
    <row r="1070" spans="1:11" x14ac:dyDescent="0.25">
      <c r="A1070" s="9" t="s">
        <v>52</v>
      </c>
      <c r="B1070" s="9" t="s">
        <v>23</v>
      </c>
      <c r="C1070" s="10">
        <v>46013</v>
      </c>
      <c r="D1070" s="10">
        <v>46013</v>
      </c>
      <c r="E1070" s="9" t="s">
        <v>1509</v>
      </c>
      <c r="F1070" s="9" t="s">
        <v>32</v>
      </c>
      <c r="G1070" s="9" t="s">
        <v>834</v>
      </c>
      <c r="H1070" s="11">
        <v>7272.39</v>
      </c>
      <c r="I1070" s="11">
        <v>7272.39</v>
      </c>
      <c r="J1070" s="11">
        <v>0</v>
      </c>
      <c r="K1070">
        <v>1</v>
      </c>
    </row>
    <row r="1071" spans="1:11" x14ac:dyDescent="0.25">
      <c r="A1071" s="9" t="s">
        <v>52</v>
      </c>
      <c r="B1071" s="9" t="s">
        <v>23</v>
      </c>
      <c r="C1071" s="10">
        <v>46013</v>
      </c>
      <c r="D1071" s="10">
        <v>46013</v>
      </c>
      <c r="E1071" s="9" t="s">
        <v>1510</v>
      </c>
      <c r="F1071" s="9" t="s">
        <v>32</v>
      </c>
      <c r="G1071" s="9" t="s">
        <v>102</v>
      </c>
      <c r="H1071" s="11">
        <v>5316.73</v>
      </c>
      <c r="I1071" s="11">
        <v>5316.73</v>
      </c>
      <c r="J1071" s="11">
        <v>0</v>
      </c>
      <c r="K1071">
        <v>1</v>
      </c>
    </row>
    <row r="1072" spans="1:11" x14ac:dyDescent="0.25">
      <c r="A1072" s="9" t="s">
        <v>52</v>
      </c>
      <c r="B1072" s="9" t="s">
        <v>23</v>
      </c>
      <c r="C1072" s="10">
        <v>46013</v>
      </c>
      <c r="D1072" s="10">
        <v>46013</v>
      </c>
      <c r="E1072" s="9" t="s">
        <v>1511</v>
      </c>
      <c r="F1072" s="9" t="s">
        <v>32</v>
      </c>
      <c r="G1072" s="9" t="s">
        <v>247</v>
      </c>
      <c r="H1072" s="11">
        <v>6826.58</v>
      </c>
      <c r="I1072" s="11">
        <v>6826.58</v>
      </c>
      <c r="J1072" s="11">
        <v>0</v>
      </c>
      <c r="K1072">
        <v>1</v>
      </c>
    </row>
    <row r="1073" spans="1:11" x14ac:dyDescent="0.25">
      <c r="A1073" s="9" t="s">
        <v>52</v>
      </c>
      <c r="B1073" s="9" t="s">
        <v>23</v>
      </c>
      <c r="C1073" s="10">
        <v>46013</v>
      </c>
      <c r="D1073" s="10">
        <v>46013</v>
      </c>
      <c r="E1073" s="9" t="s">
        <v>1512</v>
      </c>
      <c r="F1073" s="9" t="s">
        <v>32</v>
      </c>
      <c r="G1073" s="9" t="s">
        <v>1167</v>
      </c>
      <c r="H1073" s="11">
        <v>2277.29</v>
      </c>
      <c r="I1073" s="11">
        <v>2277.29</v>
      </c>
      <c r="J1073" s="11">
        <v>0</v>
      </c>
      <c r="K1073">
        <v>1</v>
      </c>
    </row>
    <row r="1074" spans="1:11" x14ac:dyDescent="0.25">
      <c r="A1074" s="9" t="s">
        <v>52</v>
      </c>
      <c r="B1074" s="9" t="s">
        <v>23</v>
      </c>
      <c r="C1074" s="10">
        <v>46013</v>
      </c>
      <c r="D1074" s="10">
        <v>46013</v>
      </c>
      <c r="E1074" s="9" t="s">
        <v>1513</v>
      </c>
      <c r="F1074" s="9" t="s">
        <v>32</v>
      </c>
      <c r="G1074" s="9" t="s">
        <v>1367</v>
      </c>
      <c r="H1074" s="11">
        <v>2156.9899999999998</v>
      </c>
      <c r="I1074" s="11">
        <v>2156.9899999999998</v>
      </c>
      <c r="J1074" s="11">
        <v>0</v>
      </c>
      <c r="K1074">
        <v>1</v>
      </c>
    </row>
    <row r="1075" spans="1:11" x14ac:dyDescent="0.25">
      <c r="A1075" s="9" t="s">
        <v>52</v>
      </c>
      <c r="B1075" s="9" t="s">
        <v>23</v>
      </c>
      <c r="C1075" s="10">
        <v>46013</v>
      </c>
      <c r="D1075" s="10">
        <v>46013</v>
      </c>
      <c r="E1075" s="9" t="s">
        <v>1514</v>
      </c>
      <c r="F1075" s="9" t="s">
        <v>32</v>
      </c>
      <c r="G1075" s="9" t="s">
        <v>116</v>
      </c>
      <c r="H1075" s="11">
        <v>5395.3</v>
      </c>
      <c r="I1075" s="11">
        <v>5395.3</v>
      </c>
      <c r="J1075" s="11">
        <v>0</v>
      </c>
      <c r="K1075">
        <v>1</v>
      </c>
    </row>
    <row r="1076" spans="1:11" x14ac:dyDescent="0.25">
      <c r="A1076" s="9" t="s">
        <v>52</v>
      </c>
      <c r="B1076" s="9" t="s">
        <v>23</v>
      </c>
      <c r="C1076" s="10">
        <v>46013</v>
      </c>
      <c r="D1076" s="10">
        <v>46013</v>
      </c>
      <c r="E1076" s="9" t="s">
        <v>1515</v>
      </c>
      <c r="F1076" s="9" t="s">
        <v>32</v>
      </c>
      <c r="G1076" s="9" t="s">
        <v>831</v>
      </c>
      <c r="H1076" s="11">
        <v>5603.95</v>
      </c>
      <c r="I1076" s="11">
        <v>5603.95</v>
      </c>
      <c r="J1076" s="11">
        <v>0</v>
      </c>
      <c r="K1076">
        <v>1</v>
      </c>
    </row>
    <row r="1077" spans="1:11" x14ac:dyDescent="0.25">
      <c r="A1077" s="9" t="s">
        <v>52</v>
      </c>
      <c r="B1077" s="9" t="s">
        <v>23</v>
      </c>
      <c r="C1077" s="10">
        <v>46013</v>
      </c>
      <c r="D1077" s="10">
        <v>46013</v>
      </c>
      <c r="E1077" s="9" t="s">
        <v>1516</v>
      </c>
      <c r="F1077" s="9" t="s">
        <v>32</v>
      </c>
      <c r="G1077" s="9" t="s">
        <v>307</v>
      </c>
      <c r="H1077" s="11">
        <v>3978.11</v>
      </c>
      <c r="I1077" s="11">
        <v>3978.11</v>
      </c>
      <c r="J1077" s="11">
        <v>0</v>
      </c>
      <c r="K1077">
        <v>1</v>
      </c>
    </row>
    <row r="1078" spans="1:11" x14ac:dyDescent="0.25">
      <c r="A1078" s="9" t="s">
        <v>52</v>
      </c>
      <c r="B1078" s="9" t="s">
        <v>23</v>
      </c>
      <c r="C1078" s="10">
        <v>46013</v>
      </c>
      <c r="D1078" s="10">
        <v>46013</v>
      </c>
      <c r="E1078" s="9" t="s">
        <v>1517</v>
      </c>
      <c r="F1078" s="9" t="s">
        <v>32</v>
      </c>
      <c r="G1078" s="9" t="s">
        <v>252</v>
      </c>
      <c r="H1078" s="11">
        <v>6015.22</v>
      </c>
      <c r="I1078" s="11">
        <v>6015.22</v>
      </c>
      <c r="J1078" s="11">
        <v>0</v>
      </c>
      <c r="K1078">
        <v>1</v>
      </c>
    </row>
    <row r="1079" spans="1:11" x14ac:dyDescent="0.25">
      <c r="A1079" s="9" t="s">
        <v>52</v>
      </c>
      <c r="B1079" s="9" t="s">
        <v>23</v>
      </c>
      <c r="C1079" s="10">
        <v>46013</v>
      </c>
      <c r="D1079" s="10">
        <v>46013</v>
      </c>
      <c r="E1079" s="9" t="s">
        <v>1518</v>
      </c>
      <c r="F1079" s="9" t="s">
        <v>32</v>
      </c>
      <c r="G1079" s="9" t="s">
        <v>303</v>
      </c>
      <c r="H1079" s="11">
        <v>16717.509999999998</v>
      </c>
      <c r="I1079" s="11">
        <v>16717.509999999998</v>
      </c>
      <c r="J1079" s="11">
        <v>0</v>
      </c>
      <c r="K1079">
        <v>1</v>
      </c>
    </row>
    <row r="1080" spans="1:11" x14ac:dyDescent="0.25">
      <c r="A1080" s="9" t="s">
        <v>52</v>
      </c>
      <c r="B1080" s="9" t="s">
        <v>23</v>
      </c>
      <c r="C1080" s="10">
        <v>46013</v>
      </c>
      <c r="D1080" s="10">
        <v>46013</v>
      </c>
      <c r="E1080" s="9" t="s">
        <v>1519</v>
      </c>
      <c r="F1080" s="9" t="s">
        <v>32</v>
      </c>
      <c r="G1080" s="9" t="s">
        <v>309</v>
      </c>
      <c r="H1080" s="11">
        <v>8952.2999999999993</v>
      </c>
      <c r="I1080" s="11">
        <v>8952.2999999999993</v>
      </c>
      <c r="J1080" s="11">
        <v>0</v>
      </c>
      <c r="K1080">
        <v>1</v>
      </c>
    </row>
    <row r="1081" spans="1:11" x14ac:dyDescent="0.25">
      <c r="A1081" s="9" t="s">
        <v>52</v>
      </c>
      <c r="B1081" s="9" t="s">
        <v>23</v>
      </c>
      <c r="C1081" s="10">
        <v>46013</v>
      </c>
      <c r="D1081" s="10">
        <v>46013</v>
      </c>
      <c r="E1081" s="9" t="s">
        <v>1520</v>
      </c>
      <c r="F1081" s="9" t="s">
        <v>32</v>
      </c>
      <c r="G1081" s="9" t="s">
        <v>133</v>
      </c>
      <c r="H1081" s="11">
        <v>5917.3</v>
      </c>
      <c r="I1081" s="11">
        <v>5917.3</v>
      </c>
      <c r="J1081" s="11">
        <v>0</v>
      </c>
      <c r="K1081">
        <v>1</v>
      </c>
    </row>
    <row r="1082" spans="1:11" x14ac:dyDescent="0.25">
      <c r="A1082" s="9" t="s">
        <v>52</v>
      </c>
      <c r="B1082" s="9" t="s">
        <v>23</v>
      </c>
      <c r="C1082" s="10">
        <v>46013</v>
      </c>
      <c r="D1082" s="10">
        <v>46013</v>
      </c>
      <c r="E1082" s="9" t="s">
        <v>1521</v>
      </c>
      <c r="F1082" s="9" t="s">
        <v>32</v>
      </c>
      <c r="G1082" s="9" t="s">
        <v>450</v>
      </c>
      <c r="H1082" s="11">
        <v>9500.6299999999992</v>
      </c>
      <c r="I1082" s="11">
        <v>9500.6299999999992</v>
      </c>
      <c r="J1082" s="11">
        <v>0</v>
      </c>
      <c r="K1082">
        <v>1</v>
      </c>
    </row>
    <row r="1083" spans="1:11" x14ac:dyDescent="0.25">
      <c r="A1083" s="9" t="s">
        <v>52</v>
      </c>
      <c r="B1083" s="9" t="s">
        <v>23</v>
      </c>
      <c r="C1083" s="10">
        <v>46013</v>
      </c>
      <c r="D1083" s="10">
        <v>46013</v>
      </c>
      <c r="E1083" s="9" t="s">
        <v>1522</v>
      </c>
      <c r="F1083" s="9" t="s">
        <v>32</v>
      </c>
      <c r="G1083" s="9" t="s">
        <v>233</v>
      </c>
      <c r="H1083" s="11">
        <v>11433.9</v>
      </c>
      <c r="I1083" s="11">
        <v>11433.9</v>
      </c>
      <c r="J1083" s="11">
        <v>0</v>
      </c>
      <c r="K1083">
        <v>1</v>
      </c>
    </row>
    <row r="1084" spans="1:11" x14ac:dyDescent="0.25">
      <c r="A1084" s="9" t="s">
        <v>52</v>
      </c>
      <c r="B1084" s="9" t="s">
        <v>23</v>
      </c>
      <c r="C1084" s="10">
        <v>46013</v>
      </c>
      <c r="D1084" s="10">
        <v>46013</v>
      </c>
      <c r="E1084" s="9" t="s">
        <v>1523</v>
      </c>
      <c r="F1084" s="9" t="s">
        <v>32</v>
      </c>
      <c r="G1084" s="9" t="s">
        <v>753</v>
      </c>
      <c r="H1084" s="11">
        <v>1274.9000000000001</v>
      </c>
      <c r="I1084" s="11">
        <v>1274.9000000000001</v>
      </c>
      <c r="J1084" s="11">
        <v>0</v>
      </c>
      <c r="K1084">
        <v>1</v>
      </c>
    </row>
    <row r="1085" spans="1:11" x14ac:dyDescent="0.25">
      <c r="A1085" s="9" t="s">
        <v>52</v>
      </c>
      <c r="B1085" s="9" t="s">
        <v>23</v>
      </c>
      <c r="C1085" s="10">
        <v>46013</v>
      </c>
      <c r="D1085" s="10">
        <v>46013</v>
      </c>
      <c r="E1085" s="9" t="s">
        <v>1524</v>
      </c>
      <c r="F1085" s="9" t="s">
        <v>32</v>
      </c>
      <c r="G1085" s="9" t="s">
        <v>226</v>
      </c>
      <c r="H1085" s="11">
        <v>8463.16</v>
      </c>
      <c r="I1085" s="11">
        <v>8463.16</v>
      </c>
      <c r="J1085" s="11">
        <v>0</v>
      </c>
      <c r="K1085">
        <v>1</v>
      </c>
    </row>
    <row r="1086" spans="1:11" x14ac:dyDescent="0.25">
      <c r="A1086" s="9" t="s">
        <v>52</v>
      </c>
      <c r="B1086" s="9" t="s">
        <v>23</v>
      </c>
      <c r="C1086" s="10">
        <v>46013</v>
      </c>
      <c r="D1086" s="10">
        <v>46013</v>
      </c>
      <c r="E1086" s="9" t="s">
        <v>1525</v>
      </c>
      <c r="F1086" s="9" t="s">
        <v>32</v>
      </c>
      <c r="G1086" s="9" t="s">
        <v>279</v>
      </c>
      <c r="H1086" s="11">
        <v>4340.96</v>
      </c>
      <c r="I1086" s="11">
        <v>4340.96</v>
      </c>
      <c r="J1086" s="11">
        <v>0</v>
      </c>
      <c r="K1086">
        <v>1</v>
      </c>
    </row>
    <row r="1087" spans="1:11" x14ac:dyDescent="0.25">
      <c r="A1087" s="9" t="s">
        <v>52</v>
      </c>
      <c r="B1087" s="9" t="s">
        <v>23</v>
      </c>
      <c r="C1087" s="10">
        <v>46013</v>
      </c>
      <c r="D1087" s="10">
        <v>46013</v>
      </c>
      <c r="E1087" s="9" t="s">
        <v>1526</v>
      </c>
      <c r="F1087" s="9" t="s">
        <v>32</v>
      </c>
      <c r="G1087" s="9" t="s">
        <v>639</v>
      </c>
      <c r="H1087" s="11">
        <v>5098.3900000000003</v>
      </c>
      <c r="I1087" s="11">
        <v>5098.3900000000003</v>
      </c>
      <c r="J1087" s="11">
        <v>0</v>
      </c>
      <c r="K1087">
        <v>1</v>
      </c>
    </row>
    <row r="1088" spans="1:11" x14ac:dyDescent="0.25">
      <c r="A1088" s="9" t="s">
        <v>52</v>
      </c>
      <c r="B1088" s="9" t="s">
        <v>23</v>
      </c>
      <c r="C1088" s="10">
        <v>46013</v>
      </c>
      <c r="D1088" s="10">
        <v>46013</v>
      </c>
      <c r="E1088" s="9" t="s">
        <v>1527</v>
      </c>
      <c r="F1088" s="9" t="s">
        <v>32</v>
      </c>
      <c r="G1088" s="9" t="s">
        <v>233</v>
      </c>
      <c r="H1088" s="11">
        <v>12160.54</v>
      </c>
      <c r="I1088" s="11">
        <v>12160.54</v>
      </c>
      <c r="J1088" s="11">
        <v>0</v>
      </c>
      <c r="K1088">
        <v>1</v>
      </c>
    </row>
    <row r="1089" spans="1:11" x14ac:dyDescent="0.25">
      <c r="A1089" s="9" t="s">
        <v>52</v>
      </c>
      <c r="B1089" s="9" t="s">
        <v>23</v>
      </c>
      <c r="C1089" s="10">
        <v>46013</v>
      </c>
      <c r="D1089" s="10">
        <v>46013</v>
      </c>
      <c r="E1089" s="9" t="s">
        <v>1528</v>
      </c>
      <c r="F1089" s="9" t="s">
        <v>32</v>
      </c>
      <c r="G1089" s="9" t="s">
        <v>270</v>
      </c>
      <c r="H1089" s="11">
        <v>4101.8900000000003</v>
      </c>
      <c r="I1089" s="11">
        <v>4101.8900000000003</v>
      </c>
      <c r="J1089" s="11">
        <v>0</v>
      </c>
      <c r="K1089">
        <v>1</v>
      </c>
    </row>
    <row r="1090" spans="1:11" x14ac:dyDescent="0.25">
      <c r="A1090" s="9" t="s">
        <v>52</v>
      </c>
      <c r="B1090" s="9" t="s">
        <v>23</v>
      </c>
      <c r="C1090" s="10">
        <v>46013</v>
      </c>
      <c r="D1090" s="10">
        <v>46013</v>
      </c>
      <c r="E1090" s="9" t="s">
        <v>1529</v>
      </c>
      <c r="F1090" s="9" t="s">
        <v>32</v>
      </c>
      <c r="G1090" s="9" t="s">
        <v>1530</v>
      </c>
      <c r="H1090" s="11">
        <v>1507.1</v>
      </c>
      <c r="I1090" s="11">
        <v>1507.1</v>
      </c>
      <c r="J1090" s="11">
        <v>0</v>
      </c>
      <c r="K1090">
        <v>1</v>
      </c>
    </row>
    <row r="1091" spans="1:11" x14ac:dyDescent="0.25">
      <c r="A1091" s="9" t="s">
        <v>52</v>
      </c>
      <c r="B1091" s="9" t="s">
        <v>23</v>
      </c>
      <c r="C1091" s="10">
        <v>46013</v>
      </c>
      <c r="D1091" s="10">
        <v>46013</v>
      </c>
      <c r="E1091" s="9" t="s">
        <v>1531</v>
      </c>
      <c r="F1091" s="9" t="s">
        <v>32</v>
      </c>
      <c r="G1091" s="9" t="s">
        <v>301</v>
      </c>
      <c r="H1091" s="11">
        <v>1184.2</v>
      </c>
      <c r="I1091" s="11">
        <v>1184.2</v>
      </c>
      <c r="J1091" s="11">
        <v>0</v>
      </c>
      <c r="K1091">
        <v>1</v>
      </c>
    </row>
    <row r="1092" spans="1:11" x14ac:dyDescent="0.25">
      <c r="A1092" s="9" t="s">
        <v>52</v>
      </c>
      <c r="B1092" s="9" t="s">
        <v>23</v>
      </c>
      <c r="C1092" s="10">
        <v>46013</v>
      </c>
      <c r="D1092" s="10">
        <v>46013</v>
      </c>
      <c r="E1092" s="9" t="s">
        <v>1532</v>
      </c>
      <c r="F1092" s="9" t="s">
        <v>32</v>
      </c>
      <c r="G1092" s="9" t="s">
        <v>66</v>
      </c>
      <c r="H1092" s="11">
        <v>4120.45</v>
      </c>
      <c r="I1092" s="11">
        <v>4120.45</v>
      </c>
      <c r="J1092" s="11">
        <v>0</v>
      </c>
      <c r="K1092">
        <v>1</v>
      </c>
    </row>
    <row r="1093" spans="1:11" x14ac:dyDescent="0.25">
      <c r="A1093" s="9" t="s">
        <v>52</v>
      </c>
      <c r="B1093" s="9" t="s">
        <v>23</v>
      </c>
      <c r="C1093" s="10">
        <v>46013</v>
      </c>
      <c r="D1093" s="10">
        <v>46013</v>
      </c>
      <c r="E1093" s="9" t="s">
        <v>1533</v>
      </c>
      <c r="F1093" s="9" t="s">
        <v>32</v>
      </c>
      <c r="G1093" s="9" t="s">
        <v>68</v>
      </c>
      <c r="H1093" s="11">
        <v>5817.38</v>
      </c>
      <c r="I1093" s="11">
        <v>5817.38</v>
      </c>
      <c r="J1093" s="11">
        <v>0</v>
      </c>
      <c r="K1093">
        <v>1</v>
      </c>
    </row>
    <row r="1094" spans="1:11" x14ac:dyDescent="0.25">
      <c r="A1094" s="9" t="s">
        <v>52</v>
      </c>
      <c r="B1094" s="9" t="s">
        <v>23</v>
      </c>
      <c r="C1094" s="10">
        <v>46013</v>
      </c>
      <c r="D1094" s="10">
        <v>46013</v>
      </c>
      <c r="E1094" s="9" t="s">
        <v>1534</v>
      </c>
      <c r="F1094" s="9" t="s">
        <v>32</v>
      </c>
      <c r="G1094" s="9" t="s">
        <v>184</v>
      </c>
      <c r="H1094" s="11">
        <v>2264.84</v>
      </c>
      <c r="I1094" s="11">
        <v>2264.84</v>
      </c>
      <c r="J1094" s="11">
        <v>0</v>
      </c>
      <c r="K1094">
        <v>1</v>
      </c>
    </row>
    <row r="1095" spans="1:11" x14ac:dyDescent="0.25">
      <c r="A1095" s="9" t="s">
        <v>52</v>
      </c>
      <c r="B1095" s="9" t="s">
        <v>23</v>
      </c>
      <c r="C1095" s="10">
        <v>46013</v>
      </c>
      <c r="D1095" s="10">
        <v>46013</v>
      </c>
      <c r="E1095" s="9" t="s">
        <v>1535</v>
      </c>
      <c r="F1095" s="9" t="s">
        <v>141</v>
      </c>
      <c r="G1095" s="9" t="s">
        <v>1536</v>
      </c>
      <c r="H1095" s="11">
        <v>-1747.63</v>
      </c>
      <c r="I1095" s="11">
        <v>-1747.63</v>
      </c>
      <c r="J1095" s="11">
        <v>0</v>
      </c>
      <c r="K1095">
        <v>1</v>
      </c>
    </row>
    <row r="1096" spans="1:11" x14ac:dyDescent="0.25">
      <c r="A1096" s="9" t="s">
        <v>52</v>
      </c>
      <c r="B1096" s="9" t="s">
        <v>23</v>
      </c>
      <c r="C1096" s="10">
        <v>46013</v>
      </c>
      <c r="D1096" s="10">
        <v>46013</v>
      </c>
      <c r="E1096" s="9" t="s">
        <v>1537</v>
      </c>
      <c r="F1096" s="9" t="s">
        <v>32</v>
      </c>
      <c r="G1096" s="9" t="s">
        <v>124</v>
      </c>
      <c r="H1096" s="11">
        <v>4446.7299999999996</v>
      </c>
      <c r="I1096" s="11">
        <v>4446.7299999999996</v>
      </c>
      <c r="J1096" s="11">
        <v>0</v>
      </c>
      <c r="K1096">
        <v>1</v>
      </c>
    </row>
    <row r="1097" spans="1:11" x14ac:dyDescent="0.25">
      <c r="A1097" s="9" t="s">
        <v>52</v>
      </c>
      <c r="B1097" s="9" t="s">
        <v>23</v>
      </c>
      <c r="C1097" s="10">
        <v>46013</v>
      </c>
      <c r="D1097" s="10">
        <v>46013</v>
      </c>
      <c r="E1097" s="9" t="s">
        <v>1538</v>
      </c>
      <c r="F1097" s="9" t="s">
        <v>141</v>
      </c>
      <c r="G1097" s="9" t="s">
        <v>1539</v>
      </c>
      <c r="H1097" s="11">
        <v>-1632.56</v>
      </c>
      <c r="I1097" s="11">
        <v>-1632.56</v>
      </c>
      <c r="J1097" s="11">
        <v>0</v>
      </c>
      <c r="K1097">
        <v>1</v>
      </c>
    </row>
    <row r="1098" spans="1:11" x14ac:dyDescent="0.25">
      <c r="A1098" s="9" t="s">
        <v>52</v>
      </c>
      <c r="B1098" s="9" t="s">
        <v>23</v>
      </c>
      <c r="C1098" s="10">
        <v>46013</v>
      </c>
      <c r="D1098" s="10">
        <v>46013</v>
      </c>
      <c r="E1098" s="9" t="s">
        <v>1540</v>
      </c>
      <c r="F1098" s="9" t="s">
        <v>32</v>
      </c>
      <c r="G1098" s="9" t="s">
        <v>206</v>
      </c>
      <c r="H1098" s="11">
        <v>4161.1000000000004</v>
      </c>
      <c r="I1098" s="11">
        <v>4161.1000000000004</v>
      </c>
      <c r="J1098" s="11">
        <v>0</v>
      </c>
      <c r="K1098">
        <v>1</v>
      </c>
    </row>
    <row r="1099" spans="1:11" x14ac:dyDescent="0.25">
      <c r="A1099" s="9" t="s">
        <v>52</v>
      </c>
      <c r="B1099" s="9" t="s">
        <v>23</v>
      </c>
      <c r="C1099" s="10">
        <v>46013</v>
      </c>
      <c r="D1099" s="10">
        <v>46013</v>
      </c>
      <c r="E1099" s="9" t="s">
        <v>1541</v>
      </c>
      <c r="F1099" s="9" t="s">
        <v>32</v>
      </c>
      <c r="G1099" s="9" t="s">
        <v>438</v>
      </c>
      <c r="H1099" s="11">
        <v>2297.92</v>
      </c>
      <c r="I1099" s="11">
        <v>2297.92</v>
      </c>
      <c r="J1099" s="11">
        <v>0</v>
      </c>
      <c r="K1099">
        <v>1</v>
      </c>
    </row>
    <row r="1100" spans="1:11" x14ac:dyDescent="0.25">
      <c r="A1100" s="9" t="s">
        <v>52</v>
      </c>
      <c r="B1100" s="9" t="s">
        <v>23</v>
      </c>
      <c r="C1100" s="10">
        <v>46013</v>
      </c>
      <c r="D1100" s="10">
        <v>46013</v>
      </c>
      <c r="E1100" s="9" t="s">
        <v>1542</v>
      </c>
      <c r="F1100" s="9" t="s">
        <v>32</v>
      </c>
      <c r="G1100" s="9" t="s">
        <v>1543</v>
      </c>
      <c r="H1100" s="11">
        <v>716.34</v>
      </c>
      <c r="I1100" s="11">
        <v>716.34</v>
      </c>
      <c r="J1100" s="11">
        <v>0</v>
      </c>
      <c r="K1100">
        <v>1</v>
      </c>
    </row>
    <row r="1101" spans="1:11" x14ac:dyDescent="0.25">
      <c r="A1101" s="9" t="s">
        <v>52</v>
      </c>
      <c r="B1101" s="9" t="s">
        <v>23</v>
      </c>
      <c r="C1101" s="10">
        <v>46013</v>
      </c>
      <c r="D1101" s="10">
        <v>46013</v>
      </c>
      <c r="E1101" s="9" t="s">
        <v>1544</v>
      </c>
      <c r="F1101" s="9" t="s">
        <v>32</v>
      </c>
      <c r="G1101" s="9" t="s">
        <v>1545</v>
      </c>
      <c r="H1101" s="11">
        <v>410.19</v>
      </c>
      <c r="I1101" s="11">
        <v>410.19</v>
      </c>
      <c r="J1101" s="11">
        <v>0</v>
      </c>
      <c r="K1101">
        <v>1</v>
      </c>
    </row>
    <row r="1102" spans="1:11" x14ac:dyDescent="0.25">
      <c r="A1102" s="9" t="s">
        <v>52</v>
      </c>
      <c r="B1102" s="9" t="s">
        <v>23</v>
      </c>
      <c r="C1102" s="10">
        <v>46013</v>
      </c>
      <c r="D1102" s="10">
        <v>46013</v>
      </c>
      <c r="E1102" s="9" t="s">
        <v>1546</v>
      </c>
      <c r="F1102" s="9" t="s">
        <v>32</v>
      </c>
      <c r="G1102" s="9" t="s">
        <v>707</v>
      </c>
      <c r="H1102" s="11">
        <v>479.52</v>
      </c>
      <c r="I1102" s="11">
        <v>479.52</v>
      </c>
      <c r="J1102" s="11">
        <v>0</v>
      </c>
      <c r="K1102">
        <v>1</v>
      </c>
    </row>
    <row r="1103" spans="1:11" x14ac:dyDescent="0.25">
      <c r="A1103" s="9" t="s">
        <v>52</v>
      </c>
      <c r="B1103" s="9" t="s">
        <v>23</v>
      </c>
      <c r="C1103" s="10">
        <v>46013</v>
      </c>
      <c r="D1103" s="10">
        <v>46013</v>
      </c>
      <c r="E1103" s="9" t="s">
        <v>1547</v>
      </c>
      <c r="F1103" s="9" t="s">
        <v>32</v>
      </c>
      <c r="G1103" s="9" t="s">
        <v>202</v>
      </c>
      <c r="H1103" s="11">
        <v>2105.98</v>
      </c>
      <c r="I1103" s="11">
        <v>2105.98</v>
      </c>
      <c r="J1103" s="11">
        <v>0</v>
      </c>
      <c r="K1103">
        <v>1</v>
      </c>
    </row>
    <row r="1104" spans="1:11" x14ac:dyDescent="0.25">
      <c r="A1104" s="9" t="s">
        <v>52</v>
      </c>
      <c r="B1104" s="9" t="s">
        <v>23</v>
      </c>
      <c r="C1104" s="10">
        <v>46013</v>
      </c>
      <c r="D1104" s="10">
        <v>46013</v>
      </c>
      <c r="E1104" s="9" t="s">
        <v>1548</v>
      </c>
      <c r="F1104" s="9" t="s">
        <v>32</v>
      </c>
      <c r="G1104" s="9" t="s">
        <v>1075</v>
      </c>
      <c r="H1104" s="11">
        <v>544.39</v>
      </c>
      <c r="I1104" s="11">
        <v>544.39</v>
      </c>
      <c r="J1104" s="11">
        <v>0</v>
      </c>
      <c r="K1104">
        <v>1</v>
      </c>
    </row>
    <row r="1105" spans="1:11" x14ac:dyDescent="0.25">
      <c r="A1105" s="9" t="s">
        <v>52</v>
      </c>
      <c r="B1105" s="9" t="s">
        <v>23</v>
      </c>
      <c r="C1105" s="10">
        <v>46013</v>
      </c>
      <c r="D1105" s="10">
        <v>46013</v>
      </c>
      <c r="E1105" s="9" t="s">
        <v>1549</v>
      </c>
      <c r="F1105" s="9" t="s">
        <v>32</v>
      </c>
      <c r="G1105" s="9" t="s">
        <v>1550</v>
      </c>
      <c r="H1105" s="11">
        <v>582.49</v>
      </c>
      <c r="I1105" s="11">
        <v>582.49</v>
      </c>
      <c r="J1105" s="11">
        <v>0</v>
      </c>
      <c r="K1105">
        <v>1</v>
      </c>
    </row>
    <row r="1106" spans="1:11" x14ac:dyDescent="0.25">
      <c r="A1106" s="9" t="s">
        <v>52</v>
      </c>
      <c r="B1106" s="9" t="s">
        <v>23</v>
      </c>
      <c r="C1106" s="10">
        <v>46013</v>
      </c>
      <c r="D1106" s="10">
        <v>46013</v>
      </c>
      <c r="E1106" s="9" t="s">
        <v>1551</v>
      </c>
      <c r="F1106" s="9" t="s">
        <v>32</v>
      </c>
      <c r="G1106" s="9" t="s">
        <v>970</v>
      </c>
      <c r="H1106" s="11">
        <v>607.38</v>
      </c>
      <c r="I1106" s="11">
        <v>607.38</v>
      </c>
      <c r="J1106" s="11">
        <v>0</v>
      </c>
      <c r="K1106">
        <v>1</v>
      </c>
    </row>
    <row r="1107" spans="1:11" x14ac:dyDescent="0.25">
      <c r="A1107" s="9" t="s">
        <v>52</v>
      </c>
      <c r="B1107" s="9" t="s">
        <v>23</v>
      </c>
      <c r="C1107" s="10">
        <v>46013</v>
      </c>
      <c r="D1107" s="10">
        <v>46013</v>
      </c>
      <c r="E1107" s="9" t="s">
        <v>1552</v>
      </c>
      <c r="F1107" s="9" t="s">
        <v>32</v>
      </c>
      <c r="G1107" s="9" t="s">
        <v>341</v>
      </c>
      <c r="H1107" s="11">
        <v>689.38</v>
      </c>
      <c r="I1107" s="11">
        <v>689.38</v>
      </c>
      <c r="J1107" s="11">
        <v>0</v>
      </c>
      <c r="K1107">
        <v>1</v>
      </c>
    </row>
    <row r="1108" spans="1:11" x14ac:dyDescent="0.25">
      <c r="A1108" s="9" t="s">
        <v>52</v>
      </c>
      <c r="B1108" s="9" t="s">
        <v>23</v>
      </c>
      <c r="C1108" s="10">
        <v>46013</v>
      </c>
      <c r="D1108" s="10">
        <v>46013</v>
      </c>
      <c r="E1108" s="9" t="s">
        <v>1553</v>
      </c>
      <c r="F1108" s="9" t="s">
        <v>32</v>
      </c>
      <c r="G1108" s="9" t="s">
        <v>1378</v>
      </c>
      <c r="H1108" s="11">
        <v>1032.02</v>
      </c>
      <c r="I1108" s="11">
        <v>1032.02</v>
      </c>
      <c r="J1108" s="11">
        <v>0</v>
      </c>
      <c r="K1108">
        <v>1</v>
      </c>
    </row>
    <row r="1109" spans="1:11" x14ac:dyDescent="0.25">
      <c r="A1109" s="9" t="s">
        <v>52</v>
      </c>
      <c r="B1109" s="9" t="s">
        <v>23</v>
      </c>
      <c r="C1109" s="10">
        <v>46013</v>
      </c>
      <c r="D1109" s="10">
        <v>46013</v>
      </c>
      <c r="E1109" s="9" t="s">
        <v>1554</v>
      </c>
      <c r="F1109" s="9" t="s">
        <v>32</v>
      </c>
      <c r="G1109" s="9" t="s">
        <v>496</v>
      </c>
      <c r="H1109" s="11">
        <v>732.72</v>
      </c>
      <c r="I1109" s="11">
        <v>732.72</v>
      </c>
      <c r="J1109" s="11">
        <v>0</v>
      </c>
      <c r="K1109">
        <v>1</v>
      </c>
    </row>
    <row r="1110" spans="1:11" x14ac:dyDescent="0.25">
      <c r="A1110" s="9" t="s">
        <v>52</v>
      </c>
      <c r="B1110" s="9" t="s">
        <v>23</v>
      </c>
      <c r="C1110" s="10">
        <v>46013</v>
      </c>
      <c r="D1110" s="10">
        <v>46013</v>
      </c>
      <c r="E1110" s="9" t="s">
        <v>1555</v>
      </c>
      <c r="F1110" s="9" t="s">
        <v>32</v>
      </c>
      <c r="G1110" s="9" t="s">
        <v>1556</v>
      </c>
      <c r="H1110" s="11">
        <v>2497.58</v>
      </c>
      <c r="I1110" s="11">
        <v>2497.58</v>
      </c>
      <c r="J1110" s="11">
        <v>0</v>
      </c>
      <c r="K1110">
        <v>1</v>
      </c>
    </row>
    <row r="1111" spans="1:11" x14ac:dyDescent="0.25">
      <c r="A1111" s="9" t="s">
        <v>52</v>
      </c>
      <c r="B1111" s="9" t="s">
        <v>23</v>
      </c>
      <c r="C1111" s="10">
        <v>46013</v>
      </c>
      <c r="D1111" s="10">
        <v>46013</v>
      </c>
      <c r="E1111" s="9" t="s">
        <v>1557</v>
      </c>
      <c r="F1111" s="9" t="s">
        <v>32</v>
      </c>
      <c r="G1111" s="9" t="s">
        <v>1558</v>
      </c>
      <c r="H1111" s="11">
        <v>913.04</v>
      </c>
      <c r="I1111" s="11">
        <v>913.04</v>
      </c>
      <c r="J1111" s="11">
        <v>0</v>
      </c>
      <c r="K1111">
        <v>1</v>
      </c>
    </row>
    <row r="1112" spans="1:11" x14ac:dyDescent="0.25">
      <c r="A1112" s="9" t="s">
        <v>52</v>
      </c>
      <c r="B1112" s="9" t="s">
        <v>23</v>
      </c>
      <c r="C1112" s="10">
        <v>46013</v>
      </c>
      <c r="D1112" s="10">
        <v>46013</v>
      </c>
      <c r="E1112" s="9" t="s">
        <v>1559</v>
      </c>
      <c r="F1112" s="9" t="s">
        <v>32</v>
      </c>
      <c r="G1112" s="9" t="s">
        <v>1378</v>
      </c>
      <c r="H1112" s="11">
        <v>916.42</v>
      </c>
      <c r="I1112" s="11">
        <v>916.42</v>
      </c>
      <c r="J1112" s="11">
        <v>0</v>
      </c>
      <c r="K1112">
        <v>1</v>
      </c>
    </row>
    <row r="1113" spans="1:11" x14ac:dyDescent="0.25">
      <c r="A1113" s="9" t="s">
        <v>52</v>
      </c>
      <c r="B1113" s="9" t="s">
        <v>23</v>
      </c>
      <c r="C1113" s="10">
        <v>46013</v>
      </c>
      <c r="D1113" s="10">
        <v>46013</v>
      </c>
      <c r="E1113" s="9" t="s">
        <v>1560</v>
      </c>
      <c r="F1113" s="9" t="s">
        <v>32</v>
      </c>
      <c r="G1113" s="9" t="s">
        <v>362</v>
      </c>
      <c r="H1113" s="11">
        <v>2888.55</v>
      </c>
      <c r="I1113" s="11">
        <v>2888.55</v>
      </c>
      <c r="J1113" s="11">
        <v>0</v>
      </c>
      <c r="K1113">
        <v>1</v>
      </c>
    </row>
    <row r="1114" spans="1:11" x14ac:dyDescent="0.25">
      <c r="A1114" s="9" t="s">
        <v>52</v>
      </c>
      <c r="B1114" s="9" t="s">
        <v>23</v>
      </c>
      <c r="C1114" s="10">
        <v>46013</v>
      </c>
      <c r="D1114" s="10">
        <v>46013</v>
      </c>
      <c r="E1114" s="9" t="s">
        <v>1561</v>
      </c>
      <c r="F1114" s="9" t="s">
        <v>32</v>
      </c>
      <c r="G1114" s="9" t="s">
        <v>438</v>
      </c>
      <c r="H1114" s="11">
        <v>1261.1199999999999</v>
      </c>
      <c r="I1114" s="11">
        <v>1261.1199999999999</v>
      </c>
      <c r="J1114" s="11">
        <v>0</v>
      </c>
      <c r="K1114">
        <v>1</v>
      </c>
    </row>
    <row r="1115" spans="1:11" x14ac:dyDescent="0.25">
      <c r="A1115" s="9" t="s">
        <v>52</v>
      </c>
      <c r="B1115" s="9" t="s">
        <v>23</v>
      </c>
      <c r="C1115" s="10">
        <v>46013</v>
      </c>
      <c r="D1115" s="10">
        <v>46013</v>
      </c>
      <c r="E1115" s="9" t="s">
        <v>1562</v>
      </c>
      <c r="F1115" s="9" t="s">
        <v>32</v>
      </c>
      <c r="G1115" s="9" t="s">
        <v>92</v>
      </c>
      <c r="H1115" s="11">
        <v>1137.99</v>
      </c>
      <c r="I1115" s="11">
        <v>1137.99</v>
      </c>
      <c r="J1115" s="11">
        <v>0</v>
      </c>
      <c r="K1115">
        <v>1</v>
      </c>
    </row>
    <row r="1116" spans="1:11" x14ac:dyDescent="0.25">
      <c r="A1116" s="9" t="s">
        <v>52</v>
      </c>
      <c r="B1116" s="9" t="s">
        <v>23</v>
      </c>
      <c r="C1116" s="10">
        <v>46013</v>
      </c>
      <c r="D1116" s="10">
        <v>46013</v>
      </c>
      <c r="E1116" s="9" t="s">
        <v>1563</v>
      </c>
      <c r="F1116" s="9" t="s">
        <v>32</v>
      </c>
      <c r="G1116" s="9" t="s">
        <v>78</v>
      </c>
      <c r="H1116" s="11">
        <v>3248.57</v>
      </c>
      <c r="I1116" s="11">
        <v>3248.57</v>
      </c>
      <c r="J1116" s="11">
        <v>0</v>
      </c>
      <c r="K1116">
        <v>1</v>
      </c>
    </row>
    <row r="1117" spans="1:11" x14ac:dyDescent="0.25">
      <c r="A1117" s="9" t="s">
        <v>52</v>
      </c>
      <c r="B1117" s="9" t="s">
        <v>23</v>
      </c>
      <c r="C1117" s="10">
        <v>46013</v>
      </c>
      <c r="D1117" s="10">
        <v>46013</v>
      </c>
      <c r="E1117" s="9" t="s">
        <v>1564</v>
      </c>
      <c r="F1117" s="9" t="s">
        <v>32</v>
      </c>
      <c r="G1117" s="9" t="s">
        <v>99</v>
      </c>
      <c r="H1117" s="11">
        <v>1024.44</v>
      </c>
      <c r="I1117" s="11">
        <v>1024.44</v>
      </c>
      <c r="J1117" s="11">
        <v>0</v>
      </c>
      <c r="K1117">
        <v>1</v>
      </c>
    </row>
    <row r="1118" spans="1:11" x14ac:dyDescent="0.25">
      <c r="A1118" s="9" t="s">
        <v>52</v>
      </c>
      <c r="B1118" s="9" t="s">
        <v>23</v>
      </c>
      <c r="C1118" s="10">
        <v>46013</v>
      </c>
      <c r="D1118" s="10">
        <v>46013</v>
      </c>
      <c r="E1118" s="9" t="s">
        <v>1565</v>
      </c>
      <c r="F1118" s="9" t="s">
        <v>32</v>
      </c>
      <c r="G1118" s="9" t="s">
        <v>359</v>
      </c>
      <c r="H1118" s="11">
        <v>1030.0899999999999</v>
      </c>
      <c r="I1118" s="11">
        <v>1030.0899999999999</v>
      </c>
      <c r="J1118" s="11">
        <v>0</v>
      </c>
      <c r="K1118">
        <v>1</v>
      </c>
    </row>
    <row r="1119" spans="1:11" x14ac:dyDescent="0.25">
      <c r="A1119" s="9" t="s">
        <v>52</v>
      </c>
      <c r="B1119" s="9" t="s">
        <v>23</v>
      </c>
      <c r="C1119" s="10">
        <v>46013</v>
      </c>
      <c r="D1119" s="10">
        <v>46013</v>
      </c>
      <c r="E1119" s="9" t="s">
        <v>1566</v>
      </c>
      <c r="F1119" s="9" t="s">
        <v>32</v>
      </c>
      <c r="G1119" s="9" t="s">
        <v>444</v>
      </c>
      <c r="H1119" s="11">
        <v>25595.279999999999</v>
      </c>
      <c r="I1119" s="11">
        <v>25595.279999999999</v>
      </c>
      <c r="J1119" s="11">
        <v>0</v>
      </c>
      <c r="K1119">
        <v>1</v>
      </c>
    </row>
    <row r="1120" spans="1:11" x14ac:dyDescent="0.25">
      <c r="A1120" s="9" t="s">
        <v>52</v>
      </c>
      <c r="B1120" s="9" t="s">
        <v>23</v>
      </c>
      <c r="C1120" s="10">
        <v>46013</v>
      </c>
      <c r="D1120" s="10">
        <v>46013</v>
      </c>
      <c r="E1120" s="9" t="s">
        <v>1567</v>
      </c>
      <c r="F1120" s="9" t="s">
        <v>32</v>
      </c>
      <c r="G1120" s="9" t="s">
        <v>1325</v>
      </c>
      <c r="H1120" s="11">
        <v>1123.8699999999999</v>
      </c>
      <c r="I1120" s="11">
        <v>1123.8699999999999</v>
      </c>
      <c r="J1120" s="11">
        <v>0</v>
      </c>
      <c r="K1120">
        <v>1</v>
      </c>
    </row>
    <row r="1121" spans="1:11" x14ac:dyDescent="0.25">
      <c r="A1121" s="9" t="s">
        <v>52</v>
      </c>
      <c r="B1121" s="9" t="s">
        <v>23</v>
      </c>
      <c r="C1121" s="10">
        <v>46013</v>
      </c>
      <c r="D1121" s="10">
        <v>46013</v>
      </c>
      <c r="E1121" s="9" t="s">
        <v>1568</v>
      </c>
      <c r="F1121" s="9" t="s">
        <v>32</v>
      </c>
      <c r="G1121" s="9" t="s">
        <v>1569</v>
      </c>
      <c r="H1121" s="11">
        <v>1076.74</v>
      </c>
      <c r="I1121" s="11">
        <v>1076.74</v>
      </c>
      <c r="J1121" s="11">
        <v>0</v>
      </c>
      <c r="K1121">
        <v>1</v>
      </c>
    </row>
    <row r="1122" spans="1:11" x14ac:dyDescent="0.25">
      <c r="A1122" s="9" t="s">
        <v>52</v>
      </c>
      <c r="B1122" s="9" t="s">
        <v>23</v>
      </c>
      <c r="C1122" s="10">
        <v>46013</v>
      </c>
      <c r="D1122" s="10">
        <v>46013</v>
      </c>
      <c r="E1122" s="9" t="s">
        <v>1570</v>
      </c>
      <c r="F1122" s="9" t="s">
        <v>32</v>
      </c>
      <c r="G1122" s="9" t="s">
        <v>198</v>
      </c>
      <c r="H1122" s="11">
        <v>2543.64</v>
      </c>
      <c r="I1122" s="11">
        <v>2543.64</v>
      </c>
      <c r="J1122" s="11">
        <v>0</v>
      </c>
      <c r="K1122">
        <v>1</v>
      </c>
    </row>
    <row r="1123" spans="1:11" x14ac:dyDescent="0.25">
      <c r="A1123" s="9" t="s">
        <v>52</v>
      </c>
      <c r="B1123" s="9" t="s">
        <v>23</v>
      </c>
      <c r="C1123" s="10">
        <v>46013</v>
      </c>
      <c r="D1123" s="10">
        <v>46013</v>
      </c>
      <c r="E1123" s="9" t="s">
        <v>1571</v>
      </c>
      <c r="F1123" s="9" t="s">
        <v>141</v>
      </c>
      <c r="G1123" s="9" t="s">
        <v>1572</v>
      </c>
      <c r="H1123" s="11">
        <v>-6260.36</v>
      </c>
      <c r="I1123" s="11">
        <v>-6260.36</v>
      </c>
      <c r="J1123" s="11">
        <v>0</v>
      </c>
      <c r="K1123">
        <v>1</v>
      </c>
    </row>
    <row r="1124" spans="1:11" x14ac:dyDescent="0.25">
      <c r="A1124" s="9" t="s">
        <v>52</v>
      </c>
      <c r="B1124" s="9" t="s">
        <v>23</v>
      </c>
      <c r="C1124" s="10">
        <v>46013</v>
      </c>
      <c r="D1124" s="10">
        <v>46013</v>
      </c>
      <c r="E1124" s="9" t="s">
        <v>1573</v>
      </c>
      <c r="F1124" s="9" t="s">
        <v>141</v>
      </c>
      <c r="G1124" s="9" t="s">
        <v>1574</v>
      </c>
      <c r="H1124" s="11">
        <v>-4712.29</v>
      </c>
      <c r="I1124" s="11">
        <v>-4712.29</v>
      </c>
      <c r="J1124" s="11">
        <v>0</v>
      </c>
      <c r="K1124">
        <v>1</v>
      </c>
    </row>
    <row r="1125" spans="1:11" x14ac:dyDescent="0.25">
      <c r="A1125" s="9" t="s">
        <v>52</v>
      </c>
      <c r="B1125" s="9" t="s">
        <v>23</v>
      </c>
      <c r="C1125" s="10">
        <v>46013</v>
      </c>
      <c r="D1125" s="10">
        <v>46013</v>
      </c>
      <c r="E1125" s="9" t="s">
        <v>1575</v>
      </c>
      <c r="F1125" s="9" t="s">
        <v>32</v>
      </c>
      <c r="G1125" s="9" t="s">
        <v>700</v>
      </c>
      <c r="H1125" s="11">
        <v>1345.48</v>
      </c>
      <c r="I1125" s="11">
        <v>1345.48</v>
      </c>
      <c r="J1125" s="11">
        <v>0</v>
      </c>
      <c r="K1125">
        <v>1</v>
      </c>
    </row>
    <row r="1126" spans="1:11" x14ac:dyDescent="0.25">
      <c r="A1126" s="9" t="s">
        <v>52</v>
      </c>
      <c r="B1126" s="9" t="s">
        <v>23</v>
      </c>
      <c r="C1126" s="10">
        <v>46013</v>
      </c>
      <c r="D1126" s="10">
        <v>46013</v>
      </c>
      <c r="E1126" s="9" t="s">
        <v>1576</v>
      </c>
      <c r="F1126" s="9" t="s">
        <v>141</v>
      </c>
      <c r="G1126" s="9" t="s">
        <v>1577</v>
      </c>
      <c r="H1126" s="11">
        <v>-25813.06</v>
      </c>
      <c r="I1126" s="11">
        <v>-25813.06</v>
      </c>
      <c r="J1126" s="11">
        <v>0</v>
      </c>
      <c r="K1126">
        <v>1</v>
      </c>
    </row>
    <row r="1127" spans="1:11" x14ac:dyDescent="0.25">
      <c r="A1127" s="9" t="s">
        <v>52</v>
      </c>
      <c r="B1127" s="9" t="s">
        <v>23</v>
      </c>
      <c r="C1127" s="10">
        <v>46013</v>
      </c>
      <c r="D1127" s="10">
        <v>46013</v>
      </c>
      <c r="E1127" s="9" t="s">
        <v>1578</v>
      </c>
      <c r="F1127" s="9" t="s">
        <v>32</v>
      </c>
      <c r="G1127" s="9" t="s">
        <v>586</v>
      </c>
      <c r="H1127" s="11">
        <v>1933.56</v>
      </c>
      <c r="I1127" s="11">
        <v>1933.56</v>
      </c>
      <c r="J1127" s="11">
        <v>0</v>
      </c>
      <c r="K1127">
        <v>1</v>
      </c>
    </row>
    <row r="1128" spans="1:11" x14ac:dyDescent="0.25">
      <c r="A1128" s="9" t="s">
        <v>52</v>
      </c>
      <c r="B1128" s="9" t="s">
        <v>23</v>
      </c>
      <c r="C1128" s="10">
        <v>46013</v>
      </c>
      <c r="D1128" s="10">
        <v>46013</v>
      </c>
      <c r="E1128" s="9" t="s">
        <v>1579</v>
      </c>
      <c r="F1128" s="9" t="s">
        <v>32</v>
      </c>
      <c r="G1128" s="9" t="s">
        <v>1580</v>
      </c>
      <c r="H1128" s="11">
        <v>948.8</v>
      </c>
      <c r="I1128" s="11">
        <v>948.8</v>
      </c>
      <c r="J1128" s="11">
        <v>0</v>
      </c>
      <c r="K1128">
        <v>1</v>
      </c>
    </row>
    <row r="1129" spans="1:11" x14ac:dyDescent="0.25">
      <c r="A1129" s="9" t="s">
        <v>52</v>
      </c>
      <c r="B1129" s="9" t="s">
        <v>23</v>
      </c>
      <c r="C1129" s="10">
        <v>46013</v>
      </c>
      <c r="D1129" s="10">
        <v>46013</v>
      </c>
      <c r="E1129" s="9" t="s">
        <v>1581</v>
      </c>
      <c r="F1129" s="9" t="s">
        <v>32</v>
      </c>
      <c r="G1129" s="9" t="s">
        <v>770</v>
      </c>
      <c r="H1129" s="11">
        <v>1231.72</v>
      </c>
      <c r="I1129" s="11">
        <v>1231.72</v>
      </c>
      <c r="J1129" s="11">
        <v>0</v>
      </c>
      <c r="K1129">
        <v>1</v>
      </c>
    </row>
    <row r="1130" spans="1:11" x14ac:dyDescent="0.25">
      <c r="A1130" s="9" t="s">
        <v>52</v>
      </c>
      <c r="B1130" s="9" t="s">
        <v>23</v>
      </c>
      <c r="C1130" s="10">
        <v>46013</v>
      </c>
      <c r="D1130" s="10">
        <v>46013</v>
      </c>
      <c r="E1130" s="9" t="s">
        <v>1582</v>
      </c>
      <c r="F1130" s="9" t="s">
        <v>141</v>
      </c>
      <c r="G1130" s="9" t="s">
        <v>1583</v>
      </c>
      <c r="H1130" s="11">
        <v>-23801.5</v>
      </c>
      <c r="I1130" s="11">
        <v>-23801.5</v>
      </c>
      <c r="J1130" s="11">
        <v>0</v>
      </c>
      <c r="K1130">
        <v>1</v>
      </c>
    </row>
    <row r="1131" spans="1:11" x14ac:dyDescent="0.25">
      <c r="A1131" s="9" t="s">
        <v>52</v>
      </c>
      <c r="B1131" s="9" t="s">
        <v>23</v>
      </c>
      <c r="C1131" s="10">
        <v>46013</v>
      </c>
      <c r="D1131" s="10">
        <v>46013</v>
      </c>
      <c r="E1131" s="9" t="s">
        <v>1584</v>
      </c>
      <c r="F1131" s="9" t="s">
        <v>141</v>
      </c>
      <c r="G1131" s="9" t="s">
        <v>1585</v>
      </c>
      <c r="H1131" s="11">
        <v>-18101.14</v>
      </c>
      <c r="I1131" s="11">
        <v>-18101.14</v>
      </c>
      <c r="J1131" s="11">
        <v>0</v>
      </c>
      <c r="K1131">
        <v>1</v>
      </c>
    </row>
    <row r="1132" spans="1:11" x14ac:dyDescent="0.25">
      <c r="A1132" s="9" t="s">
        <v>52</v>
      </c>
      <c r="B1132" s="9" t="s">
        <v>23</v>
      </c>
      <c r="C1132" s="10">
        <v>46013</v>
      </c>
      <c r="D1132" s="10">
        <v>46013</v>
      </c>
      <c r="E1132" s="9" t="s">
        <v>1586</v>
      </c>
      <c r="F1132" s="9" t="s">
        <v>32</v>
      </c>
      <c r="G1132" s="9" t="s">
        <v>270</v>
      </c>
      <c r="H1132" s="11">
        <v>8256.92</v>
      </c>
      <c r="I1132" s="11">
        <v>8256.92</v>
      </c>
      <c r="J1132" s="11">
        <v>0</v>
      </c>
      <c r="K1132">
        <v>1</v>
      </c>
    </row>
    <row r="1133" spans="1:11" x14ac:dyDescent="0.25">
      <c r="A1133" s="9" t="s">
        <v>52</v>
      </c>
      <c r="B1133" s="9" t="s">
        <v>23</v>
      </c>
      <c r="C1133" s="10">
        <v>46013</v>
      </c>
      <c r="D1133" s="10">
        <v>46013</v>
      </c>
      <c r="E1133" s="9" t="s">
        <v>1587</v>
      </c>
      <c r="F1133" s="9" t="s">
        <v>32</v>
      </c>
      <c r="G1133" s="9" t="s">
        <v>1245</v>
      </c>
      <c r="H1133" s="11">
        <v>4378.5200000000004</v>
      </c>
      <c r="I1133" s="11">
        <v>4378.5200000000004</v>
      </c>
      <c r="J1133" s="11">
        <v>0</v>
      </c>
      <c r="K1133">
        <v>1</v>
      </c>
    </row>
    <row r="1134" spans="1:11" x14ac:dyDescent="0.25">
      <c r="A1134" s="9" t="s">
        <v>52</v>
      </c>
      <c r="B1134" s="9" t="s">
        <v>23</v>
      </c>
      <c r="C1134" s="10">
        <v>46013</v>
      </c>
      <c r="D1134" s="10">
        <v>46013</v>
      </c>
      <c r="E1134" s="9" t="s">
        <v>1588</v>
      </c>
      <c r="F1134" s="9" t="s">
        <v>32</v>
      </c>
      <c r="G1134" s="9" t="s">
        <v>1378</v>
      </c>
      <c r="H1134" s="11">
        <v>949.68</v>
      </c>
      <c r="I1134" s="11">
        <v>949.68</v>
      </c>
      <c r="J1134" s="11">
        <v>0</v>
      </c>
      <c r="K1134">
        <v>1</v>
      </c>
    </row>
    <row r="1135" spans="1:11" x14ac:dyDescent="0.25">
      <c r="A1135" s="9" t="s">
        <v>52</v>
      </c>
      <c r="B1135" s="9" t="s">
        <v>23</v>
      </c>
      <c r="C1135" s="10">
        <v>46013</v>
      </c>
      <c r="D1135" s="10">
        <v>46013</v>
      </c>
      <c r="E1135" s="9" t="s">
        <v>1589</v>
      </c>
      <c r="F1135" s="9" t="s">
        <v>141</v>
      </c>
      <c r="G1135" s="9" t="s">
        <v>1590</v>
      </c>
      <c r="H1135" s="11">
        <v>-12999.72</v>
      </c>
      <c r="I1135" s="11">
        <v>-12999.72</v>
      </c>
      <c r="J1135" s="11">
        <v>0</v>
      </c>
      <c r="K1135">
        <v>1</v>
      </c>
    </row>
    <row r="1136" spans="1:11" x14ac:dyDescent="0.25">
      <c r="A1136" s="9" t="s">
        <v>52</v>
      </c>
      <c r="B1136" s="9" t="s">
        <v>23</v>
      </c>
      <c r="C1136" s="10">
        <v>46013</v>
      </c>
      <c r="D1136" s="10">
        <v>46013</v>
      </c>
      <c r="E1136" s="9" t="s">
        <v>1591</v>
      </c>
      <c r="F1136" s="9" t="s">
        <v>141</v>
      </c>
      <c r="G1136" s="9" t="s">
        <v>1592</v>
      </c>
      <c r="H1136" s="11">
        <v>-11518.31</v>
      </c>
      <c r="I1136" s="11">
        <v>-11518.31</v>
      </c>
      <c r="J1136" s="11">
        <v>0</v>
      </c>
      <c r="K1136">
        <v>1</v>
      </c>
    </row>
    <row r="1137" spans="1:11" x14ac:dyDescent="0.25">
      <c r="A1137" s="9" t="s">
        <v>52</v>
      </c>
      <c r="B1137" s="9" t="s">
        <v>23</v>
      </c>
      <c r="C1137" s="10">
        <v>46013</v>
      </c>
      <c r="D1137" s="10">
        <v>46013</v>
      </c>
      <c r="E1137" s="9" t="s">
        <v>1593</v>
      </c>
      <c r="F1137" s="9" t="s">
        <v>32</v>
      </c>
      <c r="G1137" s="9" t="s">
        <v>186</v>
      </c>
      <c r="H1137" s="11">
        <v>1149.6300000000001</v>
      </c>
      <c r="I1137" s="11">
        <v>1149.6300000000001</v>
      </c>
      <c r="J1137" s="11">
        <v>0</v>
      </c>
      <c r="K1137">
        <v>1</v>
      </c>
    </row>
    <row r="1138" spans="1:11" x14ac:dyDescent="0.25">
      <c r="A1138" s="9" t="s">
        <v>52</v>
      </c>
      <c r="B1138" s="9" t="s">
        <v>23</v>
      </c>
      <c r="C1138" s="10">
        <v>46013</v>
      </c>
      <c r="D1138" s="10">
        <v>46013</v>
      </c>
      <c r="E1138" s="9" t="s">
        <v>1594</v>
      </c>
      <c r="F1138" s="9" t="s">
        <v>32</v>
      </c>
      <c r="G1138" s="9" t="s">
        <v>1082</v>
      </c>
      <c r="H1138" s="11">
        <v>6393.27</v>
      </c>
      <c r="I1138" s="11">
        <v>6393.27</v>
      </c>
      <c r="J1138" s="11">
        <v>0</v>
      </c>
      <c r="K1138">
        <v>1</v>
      </c>
    </row>
    <row r="1139" spans="1:11" x14ac:dyDescent="0.25">
      <c r="A1139" s="9" t="s">
        <v>52</v>
      </c>
      <c r="B1139" s="9" t="s">
        <v>23</v>
      </c>
      <c r="C1139" s="10">
        <v>46013</v>
      </c>
      <c r="D1139" s="10">
        <v>46013</v>
      </c>
      <c r="E1139" s="9" t="s">
        <v>1595</v>
      </c>
      <c r="F1139" s="9" t="s">
        <v>141</v>
      </c>
      <c r="G1139" s="9" t="s">
        <v>1596</v>
      </c>
      <c r="H1139" s="11">
        <v>-10192.56</v>
      </c>
      <c r="I1139" s="11">
        <v>-10192.56</v>
      </c>
      <c r="J1139" s="11">
        <v>0</v>
      </c>
      <c r="K1139">
        <v>1</v>
      </c>
    </row>
    <row r="1140" spans="1:11" x14ac:dyDescent="0.25">
      <c r="A1140" s="9" t="s">
        <v>52</v>
      </c>
      <c r="B1140" s="9" t="s">
        <v>23</v>
      </c>
      <c r="C1140" s="10">
        <v>46013</v>
      </c>
      <c r="D1140" s="10">
        <v>46013</v>
      </c>
      <c r="E1140" s="9" t="s">
        <v>1597</v>
      </c>
      <c r="F1140" s="9" t="s">
        <v>32</v>
      </c>
      <c r="G1140" s="9" t="s">
        <v>1330</v>
      </c>
      <c r="H1140" s="11">
        <v>2551.19</v>
      </c>
      <c r="I1140" s="11">
        <v>2551.19</v>
      </c>
      <c r="J1140" s="11">
        <v>0</v>
      </c>
      <c r="K1140">
        <v>1</v>
      </c>
    </row>
    <row r="1141" spans="1:11" x14ac:dyDescent="0.25">
      <c r="A1141" s="9" t="s">
        <v>52</v>
      </c>
      <c r="B1141" s="9" t="s">
        <v>23</v>
      </c>
      <c r="C1141" s="10">
        <v>46013</v>
      </c>
      <c r="D1141" s="10">
        <v>46013</v>
      </c>
      <c r="E1141" s="9" t="s">
        <v>1598</v>
      </c>
      <c r="F1141" s="9" t="s">
        <v>32</v>
      </c>
      <c r="G1141" s="9" t="s">
        <v>442</v>
      </c>
      <c r="H1141" s="11">
        <v>5679.52</v>
      </c>
      <c r="I1141" s="11">
        <v>5679.52</v>
      </c>
      <c r="J1141" s="11">
        <v>0</v>
      </c>
      <c r="K1141">
        <v>1</v>
      </c>
    </row>
    <row r="1142" spans="1:11" x14ac:dyDescent="0.25">
      <c r="A1142" s="9" t="s">
        <v>52</v>
      </c>
      <c r="B1142" s="9" t="s">
        <v>23</v>
      </c>
      <c r="C1142" s="10">
        <v>46013</v>
      </c>
      <c r="D1142" s="10">
        <v>46013</v>
      </c>
      <c r="E1142" s="9" t="s">
        <v>1599</v>
      </c>
      <c r="F1142" s="9" t="s">
        <v>141</v>
      </c>
      <c r="G1142" s="9" t="s">
        <v>1600</v>
      </c>
      <c r="H1142" s="11">
        <v>-6530.3</v>
      </c>
      <c r="I1142" s="11">
        <v>-6530.3</v>
      </c>
      <c r="J1142" s="11">
        <v>0</v>
      </c>
      <c r="K1142">
        <v>1</v>
      </c>
    </row>
    <row r="1143" spans="1:11" x14ac:dyDescent="0.25">
      <c r="A1143" s="9" t="s">
        <v>52</v>
      </c>
      <c r="B1143" s="9" t="s">
        <v>23</v>
      </c>
      <c r="C1143" s="10">
        <v>46013</v>
      </c>
      <c r="D1143" s="10">
        <v>46013</v>
      </c>
      <c r="E1143" s="9" t="s">
        <v>1601</v>
      </c>
      <c r="F1143" s="9" t="s">
        <v>141</v>
      </c>
      <c r="G1143" s="9" t="s">
        <v>1602</v>
      </c>
      <c r="H1143" s="11">
        <v>-6810.94</v>
      </c>
      <c r="I1143" s="11">
        <v>-6810.94</v>
      </c>
      <c r="J1143" s="11">
        <v>0</v>
      </c>
      <c r="K1143">
        <v>1</v>
      </c>
    </row>
    <row r="1144" spans="1:11" x14ac:dyDescent="0.25">
      <c r="A1144" s="9" t="s">
        <v>52</v>
      </c>
      <c r="B1144" s="9" t="s">
        <v>23</v>
      </c>
      <c r="C1144" s="10">
        <v>46013</v>
      </c>
      <c r="D1144" s="10">
        <v>46013</v>
      </c>
      <c r="E1144" s="9" t="s">
        <v>1603</v>
      </c>
      <c r="F1144" s="9" t="s">
        <v>32</v>
      </c>
      <c r="G1144" s="9" t="s">
        <v>1325</v>
      </c>
      <c r="H1144" s="11">
        <v>6018.23</v>
      </c>
      <c r="I1144" s="11">
        <v>6018.23</v>
      </c>
      <c r="J1144" s="11">
        <v>0</v>
      </c>
      <c r="K1144">
        <v>1</v>
      </c>
    </row>
    <row r="1145" spans="1:11" x14ac:dyDescent="0.25">
      <c r="A1145" s="9" t="s">
        <v>52</v>
      </c>
      <c r="B1145" s="9" t="s">
        <v>23</v>
      </c>
      <c r="C1145" s="10">
        <v>46013</v>
      </c>
      <c r="D1145" s="10">
        <v>46013</v>
      </c>
      <c r="E1145" s="9" t="s">
        <v>1604</v>
      </c>
      <c r="F1145" s="9" t="s">
        <v>141</v>
      </c>
      <c r="G1145" s="9" t="s">
        <v>1605</v>
      </c>
      <c r="H1145" s="11">
        <v>-7210.5</v>
      </c>
      <c r="I1145" s="11">
        <v>-7210.5</v>
      </c>
      <c r="J1145" s="11">
        <v>0</v>
      </c>
      <c r="K1145">
        <v>1</v>
      </c>
    </row>
    <row r="1146" spans="1:11" x14ac:dyDescent="0.25">
      <c r="A1146" s="9" t="s">
        <v>52</v>
      </c>
      <c r="B1146" s="9" t="s">
        <v>23</v>
      </c>
      <c r="C1146" s="10">
        <v>46013</v>
      </c>
      <c r="D1146" s="10">
        <v>46013</v>
      </c>
      <c r="E1146" s="9" t="s">
        <v>1606</v>
      </c>
      <c r="F1146" s="9" t="s">
        <v>32</v>
      </c>
      <c r="G1146" s="9" t="s">
        <v>382</v>
      </c>
      <c r="H1146" s="11">
        <v>1108.06</v>
      </c>
      <c r="I1146" s="11">
        <v>1108.06</v>
      </c>
      <c r="J1146" s="11">
        <v>0</v>
      </c>
      <c r="K1146">
        <v>1</v>
      </c>
    </row>
    <row r="1147" spans="1:11" x14ac:dyDescent="0.25">
      <c r="A1147" s="9" t="s">
        <v>52</v>
      </c>
      <c r="B1147" s="9" t="s">
        <v>23</v>
      </c>
      <c r="C1147" s="10">
        <v>46013</v>
      </c>
      <c r="D1147" s="10">
        <v>46013</v>
      </c>
      <c r="E1147" s="9" t="s">
        <v>1607</v>
      </c>
      <c r="F1147" s="9" t="s">
        <v>141</v>
      </c>
      <c r="G1147" s="9" t="s">
        <v>1608</v>
      </c>
      <c r="H1147" s="11">
        <v>-8067.2</v>
      </c>
      <c r="I1147" s="11">
        <v>-8067.2</v>
      </c>
      <c r="J1147" s="11">
        <v>0</v>
      </c>
      <c r="K1147">
        <v>1</v>
      </c>
    </row>
    <row r="1148" spans="1:11" x14ac:dyDescent="0.25">
      <c r="A1148" s="9" t="s">
        <v>52</v>
      </c>
      <c r="B1148" s="9" t="s">
        <v>23</v>
      </c>
      <c r="C1148" s="10">
        <v>46013</v>
      </c>
      <c r="D1148" s="10">
        <v>46013</v>
      </c>
      <c r="E1148" s="9" t="s">
        <v>1609</v>
      </c>
      <c r="F1148" s="9" t="s">
        <v>141</v>
      </c>
      <c r="G1148" s="9" t="s">
        <v>1610</v>
      </c>
      <c r="H1148" s="11">
        <v>-9948.67</v>
      </c>
      <c r="I1148" s="11">
        <v>-9948.67</v>
      </c>
      <c r="J1148" s="11">
        <v>0</v>
      </c>
      <c r="K1148">
        <v>1</v>
      </c>
    </row>
    <row r="1149" spans="1:11" x14ac:dyDescent="0.25">
      <c r="A1149" s="9" t="s">
        <v>52</v>
      </c>
      <c r="B1149" s="9" t="s">
        <v>23</v>
      </c>
      <c r="C1149" s="10">
        <v>46013</v>
      </c>
      <c r="D1149" s="10">
        <v>46013</v>
      </c>
      <c r="E1149" s="9" t="s">
        <v>1611</v>
      </c>
      <c r="F1149" s="9" t="s">
        <v>141</v>
      </c>
      <c r="G1149" s="9" t="s">
        <v>1612</v>
      </c>
      <c r="H1149" s="11">
        <v>-8504.3700000000008</v>
      </c>
      <c r="I1149" s="11">
        <v>-8504.3700000000008</v>
      </c>
      <c r="J1149" s="11">
        <v>0</v>
      </c>
      <c r="K1149">
        <v>1</v>
      </c>
    </row>
    <row r="1150" spans="1:11" x14ac:dyDescent="0.25">
      <c r="A1150" s="9" t="s">
        <v>52</v>
      </c>
      <c r="B1150" s="9" t="s">
        <v>23</v>
      </c>
      <c r="C1150" s="10">
        <v>46013</v>
      </c>
      <c r="D1150" s="10">
        <v>46013</v>
      </c>
      <c r="E1150" s="9" t="s">
        <v>1613</v>
      </c>
      <c r="F1150" s="9" t="s">
        <v>32</v>
      </c>
      <c r="G1150" s="9" t="s">
        <v>1614</v>
      </c>
      <c r="H1150" s="11">
        <v>2533.98</v>
      </c>
      <c r="I1150" s="11">
        <v>2533.98</v>
      </c>
      <c r="J1150" s="11">
        <v>0</v>
      </c>
      <c r="K1150">
        <v>1</v>
      </c>
    </row>
    <row r="1151" spans="1:11" x14ac:dyDescent="0.25">
      <c r="A1151" s="9" t="s">
        <v>52</v>
      </c>
      <c r="B1151" s="9" t="s">
        <v>23</v>
      </c>
      <c r="C1151" s="10">
        <v>46013</v>
      </c>
      <c r="D1151" s="10">
        <v>46013</v>
      </c>
      <c r="E1151" s="9" t="s">
        <v>1615</v>
      </c>
      <c r="F1151" s="9" t="s">
        <v>141</v>
      </c>
      <c r="G1151" s="9" t="s">
        <v>1616</v>
      </c>
      <c r="H1151" s="11">
        <v>-9162.09</v>
      </c>
      <c r="I1151" s="11">
        <v>-9162.09</v>
      </c>
      <c r="J1151" s="11">
        <v>0</v>
      </c>
      <c r="K1151">
        <v>1</v>
      </c>
    </row>
    <row r="1152" spans="1:11" x14ac:dyDescent="0.25">
      <c r="A1152" s="9" t="s">
        <v>52</v>
      </c>
      <c r="B1152" s="9" t="s">
        <v>23</v>
      </c>
      <c r="C1152" s="10">
        <v>46013</v>
      </c>
      <c r="D1152" s="10">
        <v>46013</v>
      </c>
      <c r="E1152" s="9" t="s">
        <v>1617</v>
      </c>
      <c r="F1152" s="9" t="s">
        <v>32</v>
      </c>
      <c r="G1152" s="9" t="s">
        <v>823</v>
      </c>
      <c r="H1152" s="11">
        <v>711.9</v>
      </c>
      <c r="I1152" s="11">
        <v>711.9</v>
      </c>
      <c r="J1152" s="11">
        <v>0</v>
      </c>
      <c r="K1152">
        <v>1</v>
      </c>
    </row>
    <row r="1153" spans="1:11" x14ac:dyDescent="0.25">
      <c r="A1153" s="9" t="s">
        <v>52</v>
      </c>
      <c r="B1153" s="9" t="s">
        <v>23</v>
      </c>
      <c r="C1153" s="10">
        <v>46013</v>
      </c>
      <c r="D1153" s="10">
        <v>46013</v>
      </c>
      <c r="E1153" s="9" t="s">
        <v>1618</v>
      </c>
      <c r="F1153" s="9" t="s">
        <v>141</v>
      </c>
      <c r="G1153" s="9" t="s">
        <v>1619</v>
      </c>
      <c r="H1153" s="11">
        <v>-9177.9599999999991</v>
      </c>
      <c r="I1153" s="11">
        <v>-9177.9599999999991</v>
      </c>
      <c r="J1153" s="11">
        <v>0</v>
      </c>
      <c r="K1153">
        <v>1</v>
      </c>
    </row>
    <row r="1154" spans="1:11" x14ac:dyDescent="0.25">
      <c r="A1154" s="9" t="s">
        <v>52</v>
      </c>
      <c r="B1154" s="9" t="s">
        <v>23</v>
      </c>
      <c r="C1154" s="10">
        <v>46013</v>
      </c>
      <c r="D1154" s="10">
        <v>46013</v>
      </c>
      <c r="E1154" s="9" t="s">
        <v>1620</v>
      </c>
      <c r="F1154" s="9" t="s">
        <v>141</v>
      </c>
      <c r="G1154" s="9" t="s">
        <v>1621</v>
      </c>
      <c r="H1154" s="11">
        <v>-8571.43</v>
      </c>
      <c r="I1154" s="11">
        <v>-8571.43</v>
      </c>
      <c r="J1154" s="11">
        <v>0</v>
      </c>
      <c r="K1154">
        <v>1</v>
      </c>
    </row>
    <row r="1155" spans="1:11" x14ac:dyDescent="0.25">
      <c r="A1155" s="9" t="s">
        <v>52</v>
      </c>
      <c r="B1155" s="9" t="s">
        <v>23</v>
      </c>
      <c r="C1155" s="10">
        <v>46014</v>
      </c>
      <c r="D1155" s="10">
        <v>46014</v>
      </c>
      <c r="E1155" s="9" t="s">
        <v>1622</v>
      </c>
      <c r="F1155" s="9" t="s">
        <v>32</v>
      </c>
      <c r="G1155" s="9" t="s">
        <v>546</v>
      </c>
      <c r="H1155" s="11">
        <v>4354.3100000000004</v>
      </c>
      <c r="I1155" s="11">
        <v>4354.3100000000004</v>
      </c>
      <c r="J1155" s="11">
        <v>0</v>
      </c>
      <c r="K1155">
        <v>1</v>
      </c>
    </row>
    <row r="1156" spans="1:11" x14ac:dyDescent="0.25">
      <c r="A1156" s="9" t="s">
        <v>52</v>
      </c>
      <c r="B1156" s="9" t="s">
        <v>23</v>
      </c>
      <c r="C1156" s="10">
        <v>46014</v>
      </c>
      <c r="D1156" s="10">
        <v>46014</v>
      </c>
      <c r="E1156" s="9" t="s">
        <v>1623</v>
      </c>
      <c r="F1156" s="9" t="s">
        <v>32</v>
      </c>
      <c r="G1156" s="9" t="s">
        <v>202</v>
      </c>
      <c r="H1156" s="11">
        <v>1495.73</v>
      </c>
      <c r="I1156" s="11">
        <v>1495.73</v>
      </c>
      <c r="J1156" s="11">
        <v>0</v>
      </c>
      <c r="K1156">
        <v>1</v>
      </c>
    </row>
    <row r="1157" spans="1:11" x14ac:dyDescent="0.25">
      <c r="A1157" s="9" t="s">
        <v>52</v>
      </c>
      <c r="B1157" s="9" t="s">
        <v>23</v>
      </c>
      <c r="C1157" s="10">
        <v>46014</v>
      </c>
      <c r="D1157" s="10">
        <v>46014</v>
      </c>
      <c r="E1157" s="9" t="s">
        <v>1624</v>
      </c>
      <c r="F1157" s="9" t="s">
        <v>32</v>
      </c>
      <c r="G1157" s="9" t="s">
        <v>1625</v>
      </c>
      <c r="H1157" s="11">
        <v>4075.67</v>
      </c>
      <c r="I1157" s="11">
        <v>4075.67</v>
      </c>
      <c r="J1157" s="11">
        <v>0</v>
      </c>
      <c r="K1157">
        <v>1</v>
      </c>
    </row>
    <row r="1158" spans="1:11" x14ac:dyDescent="0.25">
      <c r="A1158" s="9" t="s">
        <v>52</v>
      </c>
      <c r="B1158" s="9" t="s">
        <v>23</v>
      </c>
      <c r="C1158" s="10">
        <v>46014</v>
      </c>
      <c r="D1158" s="10">
        <v>46014</v>
      </c>
      <c r="E1158" s="9" t="s">
        <v>1626</v>
      </c>
      <c r="F1158" s="9" t="s">
        <v>32</v>
      </c>
      <c r="G1158" s="9" t="s">
        <v>630</v>
      </c>
      <c r="H1158" s="11">
        <v>2069.1999999999998</v>
      </c>
      <c r="I1158" s="11">
        <v>2069.1999999999998</v>
      </c>
      <c r="J1158" s="11">
        <v>0</v>
      </c>
      <c r="K1158">
        <v>1</v>
      </c>
    </row>
    <row r="1159" spans="1:11" x14ac:dyDescent="0.25">
      <c r="A1159" s="9" t="s">
        <v>52</v>
      </c>
      <c r="B1159" s="9" t="s">
        <v>23</v>
      </c>
      <c r="C1159" s="10">
        <v>46014</v>
      </c>
      <c r="D1159" s="10">
        <v>46014</v>
      </c>
      <c r="E1159" s="9" t="s">
        <v>1627</v>
      </c>
      <c r="F1159" s="9" t="s">
        <v>32</v>
      </c>
      <c r="G1159" s="9" t="s">
        <v>1214</v>
      </c>
      <c r="H1159" s="11">
        <v>4607.6000000000004</v>
      </c>
      <c r="I1159" s="11">
        <v>4607.6000000000004</v>
      </c>
      <c r="J1159" s="11">
        <v>0</v>
      </c>
      <c r="K1159">
        <v>1</v>
      </c>
    </row>
    <row r="1160" spans="1:11" x14ac:dyDescent="0.25">
      <c r="A1160" s="9" t="s">
        <v>52</v>
      </c>
      <c r="B1160" s="9" t="s">
        <v>23</v>
      </c>
      <c r="C1160" s="10">
        <v>46014</v>
      </c>
      <c r="D1160" s="10">
        <v>46014</v>
      </c>
      <c r="E1160" s="9" t="s">
        <v>1628</v>
      </c>
      <c r="F1160" s="9" t="s">
        <v>32</v>
      </c>
      <c r="G1160" s="9" t="s">
        <v>411</v>
      </c>
      <c r="H1160" s="11">
        <v>1688.05</v>
      </c>
      <c r="I1160" s="11">
        <v>1688.05</v>
      </c>
      <c r="J1160" s="11">
        <v>0</v>
      </c>
      <c r="K1160">
        <v>1</v>
      </c>
    </row>
    <row r="1161" spans="1:11" x14ac:dyDescent="0.25">
      <c r="A1161" s="9" t="s">
        <v>52</v>
      </c>
      <c r="B1161" s="9" t="s">
        <v>23</v>
      </c>
      <c r="C1161" s="10">
        <v>46014</v>
      </c>
      <c r="D1161" s="10">
        <v>46014</v>
      </c>
      <c r="E1161" s="9" t="s">
        <v>1629</v>
      </c>
      <c r="F1161" s="9" t="s">
        <v>32</v>
      </c>
      <c r="G1161" s="9" t="s">
        <v>353</v>
      </c>
      <c r="H1161" s="11">
        <v>472.16</v>
      </c>
      <c r="I1161" s="11">
        <v>472.16</v>
      </c>
      <c r="J1161" s="11">
        <v>0</v>
      </c>
      <c r="K1161">
        <v>1</v>
      </c>
    </row>
    <row r="1162" spans="1:11" x14ac:dyDescent="0.25">
      <c r="A1162" s="9" t="s">
        <v>52</v>
      </c>
      <c r="B1162" s="9" t="s">
        <v>23</v>
      </c>
      <c r="C1162" s="10">
        <v>46014</v>
      </c>
      <c r="D1162" s="10">
        <v>46014</v>
      </c>
      <c r="E1162" s="9" t="s">
        <v>1630</v>
      </c>
      <c r="F1162" s="9" t="s">
        <v>32</v>
      </c>
      <c r="G1162" s="9" t="s">
        <v>756</v>
      </c>
      <c r="H1162" s="11">
        <v>1529.48</v>
      </c>
      <c r="I1162" s="11">
        <v>1529.48</v>
      </c>
      <c r="J1162" s="11">
        <v>0</v>
      </c>
      <c r="K1162">
        <v>1</v>
      </c>
    </row>
    <row r="1163" spans="1:11" x14ac:dyDescent="0.25">
      <c r="A1163" s="9" t="s">
        <v>52</v>
      </c>
      <c r="B1163" s="9" t="s">
        <v>23</v>
      </c>
      <c r="C1163" s="10">
        <v>46014</v>
      </c>
      <c r="D1163" s="10">
        <v>46014</v>
      </c>
      <c r="E1163" s="9" t="s">
        <v>1631</v>
      </c>
      <c r="F1163" s="9" t="s">
        <v>32</v>
      </c>
      <c r="G1163" s="9" t="s">
        <v>1550</v>
      </c>
      <c r="H1163" s="11">
        <v>603.30999999999995</v>
      </c>
      <c r="I1163" s="11">
        <v>603.30999999999995</v>
      </c>
      <c r="J1163" s="11">
        <v>0</v>
      </c>
      <c r="K1163">
        <v>1</v>
      </c>
    </row>
    <row r="1164" spans="1:11" x14ac:dyDescent="0.25">
      <c r="A1164" s="9" t="s">
        <v>52</v>
      </c>
      <c r="B1164" s="9" t="s">
        <v>23</v>
      </c>
      <c r="C1164" s="10">
        <v>46014</v>
      </c>
      <c r="D1164" s="10">
        <v>46014</v>
      </c>
      <c r="E1164" s="9" t="s">
        <v>1632</v>
      </c>
      <c r="F1164" s="9" t="s">
        <v>32</v>
      </c>
      <c r="G1164" s="9" t="s">
        <v>243</v>
      </c>
      <c r="H1164" s="11">
        <v>14414.52</v>
      </c>
      <c r="I1164" s="11">
        <v>14414.52</v>
      </c>
      <c r="J1164" s="11">
        <v>0</v>
      </c>
      <c r="K1164">
        <v>1</v>
      </c>
    </row>
    <row r="1165" spans="1:11" x14ac:dyDescent="0.25">
      <c r="A1165" s="9" t="s">
        <v>52</v>
      </c>
      <c r="B1165" s="9" t="s">
        <v>23</v>
      </c>
      <c r="C1165" s="10">
        <v>46014</v>
      </c>
      <c r="D1165" s="10">
        <v>46014</v>
      </c>
      <c r="E1165" s="9" t="s">
        <v>1633</v>
      </c>
      <c r="F1165" s="9" t="s">
        <v>32</v>
      </c>
      <c r="G1165" s="9" t="s">
        <v>281</v>
      </c>
      <c r="H1165" s="11">
        <v>14333.74</v>
      </c>
      <c r="I1165" s="11">
        <v>14333.74</v>
      </c>
      <c r="J1165" s="11">
        <v>0</v>
      </c>
      <c r="K1165">
        <v>1</v>
      </c>
    </row>
    <row r="1166" spans="1:11" x14ac:dyDescent="0.25">
      <c r="A1166" s="9" t="s">
        <v>52</v>
      </c>
      <c r="B1166" s="9" t="s">
        <v>23</v>
      </c>
      <c r="C1166" s="10">
        <v>46014</v>
      </c>
      <c r="D1166" s="10">
        <v>46014</v>
      </c>
      <c r="E1166" s="9" t="s">
        <v>1634</v>
      </c>
      <c r="F1166" s="9" t="s">
        <v>32</v>
      </c>
      <c r="G1166" s="9" t="s">
        <v>90</v>
      </c>
      <c r="H1166" s="11">
        <v>868.24</v>
      </c>
      <c r="I1166" s="11">
        <v>868.24</v>
      </c>
      <c r="J1166" s="11">
        <v>0</v>
      </c>
      <c r="K1166">
        <v>1</v>
      </c>
    </row>
    <row r="1167" spans="1:11" x14ac:dyDescent="0.25">
      <c r="A1167" s="9" t="s">
        <v>52</v>
      </c>
      <c r="B1167" s="9" t="s">
        <v>23</v>
      </c>
      <c r="C1167" s="10">
        <v>46014</v>
      </c>
      <c r="D1167" s="10">
        <v>46014</v>
      </c>
      <c r="E1167" s="9" t="s">
        <v>1635</v>
      </c>
      <c r="F1167" s="9" t="s">
        <v>32</v>
      </c>
      <c r="G1167" s="9" t="s">
        <v>264</v>
      </c>
      <c r="H1167" s="11">
        <v>16216.55</v>
      </c>
      <c r="I1167" s="11">
        <v>16216.55</v>
      </c>
      <c r="J1167" s="11">
        <v>0</v>
      </c>
      <c r="K1167">
        <v>1</v>
      </c>
    </row>
    <row r="1168" spans="1:11" x14ac:dyDescent="0.25">
      <c r="A1168" s="9" t="s">
        <v>52</v>
      </c>
      <c r="B1168" s="9" t="s">
        <v>23</v>
      </c>
      <c r="C1168" s="10">
        <v>46014</v>
      </c>
      <c r="D1168" s="10">
        <v>46014</v>
      </c>
      <c r="E1168" s="9" t="s">
        <v>1636</v>
      </c>
      <c r="F1168" s="9" t="s">
        <v>32</v>
      </c>
      <c r="G1168" s="9" t="s">
        <v>279</v>
      </c>
      <c r="H1168" s="11">
        <v>5667.05</v>
      </c>
      <c r="I1168" s="11">
        <v>5667.05</v>
      </c>
      <c r="J1168" s="11">
        <v>0</v>
      </c>
      <c r="K1168">
        <v>1</v>
      </c>
    </row>
    <row r="1169" spans="1:11" x14ac:dyDescent="0.25">
      <c r="A1169" s="9" t="s">
        <v>52</v>
      </c>
      <c r="B1169" s="9" t="s">
        <v>23</v>
      </c>
      <c r="C1169" s="10">
        <v>46014</v>
      </c>
      <c r="D1169" s="10">
        <v>46014</v>
      </c>
      <c r="E1169" s="9" t="s">
        <v>1637</v>
      </c>
      <c r="F1169" s="9" t="s">
        <v>32</v>
      </c>
      <c r="G1169" s="9" t="s">
        <v>309</v>
      </c>
      <c r="H1169" s="11">
        <v>4161.57</v>
      </c>
      <c r="I1169" s="11">
        <v>4161.57</v>
      </c>
      <c r="J1169" s="11">
        <v>0</v>
      </c>
      <c r="K1169">
        <v>1</v>
      </c>
    </row>
    <row r="1170" spans="1:11" x14ac:dyDescent="0.25">
      <c r="A1170" s="9" t="s">
        <v>52</v>
      </c>
      <c r="B1170" s="9" t="s">
        <v>23</v>
      </c>
      <c r="C1170" s="10">
        <v>46014</v>
      </c>
      <c r="D1170" s="10">
        <v>46014</v>
      </c>
      <c r="E1170" s="9" t="s">
        <v>1638</v>
      </c>
      <c r="F1170" s="9" t="s">
        <v>32</v>
      </c>
      <c r="G1170" s="9" t="s">
        <v>1477</v>
      </c>
      <c r="H1170" s="11">
        <v>7248.5</v>
      </c>
      <c r="I1170" s="11">
        <v>7248.5</v>
      </c>
      <c r="J1170" s="11">
        <v>0</v>
      </c>
      <c r="K1170">
        <v>1</v>
      </c>
    </row>
    <row r="1171" spans="1:11" x14ac:dyDescent="0.25">
      <c r="A1171" s="9" t="s">
        <v>52</v>
      </c>
      <c r="B1171" s="9" t="s">
        <v>23</v>
      </c>
      <c r="C1171" s="10">
        <v>46014</v>
      </c>
      <c r="D1171" s="10">
        <v>46014</v>
      </c>
      <c r="E1171" s="9" t="s">
        <v>1639</v>
      </c>
      <c r="F1171" s="9" t="s">
        <v>32</v>
      </c>
      <c r="G1171" s="9" t="s">
        <v>574</v>
      </c>
      <c r="H1171" s="11">
        <v>882.62</v>
      </c>
      <c r="I1171" s="11">
        <v>882.62</v>
      </c>
      <c r="J1171" s="11">
        <v>0</v>
      </c>
      <c r="K1171">
        <v>1</v>
      </c>
    </row>
    <row r="1172" spans="1:11" x14ac:dyDescent="0.25">
      <c r="A1172" s="9" t="s">
        <v>52</v>
      </c>
      <c r="B1172" s="9" t="s">
        <v>23</v>
      </c>
      <c r="C1172" s="10">
        <v>46014</v>
      </c>
      <c r="D1172" s="10">
        <v>46014</v>
      </c>
      <c r="E1172" s="9" t="s">
        <v>1640</v>
      </c>
      <c r="F1172" s="9" t="s">
        <v>32</v>
      </c>
      <c r="G1172" s="9" t="s">
        <v>847</v>
      </c>
      <c r="H1172" s="11">
        <v>1317.81</v>
      </c>
      <c r="I1172" s="11">
        <v>1317.81</v>
      </c>
      <c r="J1172" s="11">
        <v>0</v>
      </c>
      <c r="K1172">
        <v>1</v>
      </c>
    </row>
    <row r="1173" spans="1:11" x14ac:dyDescent="0.25">
      <c r="A1173" s="9" t="s">
        <v>52</v>
      </c>
      <c r="B1173" s="9" t="s">
        <v>23</v>
      </c>
      <c r="C1173" s="10">
        <v>46014</v>
      </c>
      <c r="D1173" s="10">
        <v>46014</v>
      </c>
      <c r="E1173" s="9" t="s">
        <v>1641</v>
      </c>
      <c r="F1173" s="9" t="s">
        <v>32</v>
      </c>
      <c r="G1173" s="9" t="s">
        <v>228</v>
      </c>
      <c r="H1173" s="11">
        <v>7076.04</v>
      </c>
      <c r="I1173" s="11">
        <v>7076.04</v>
      </c>
      <c r="J1173" s="11">
        <v>0</v>
      </c>
      <c r="K1173">
        <v>1</v>
      </c>
    </row>
    <row r="1174" spans="1:11" x14ac:dyDescent="0.25">
      <c r="A1174" s="9" t="s">
        <v>52</v>
      </c>
      <c r="B1174" s="9" t="s">
        <v>23</v>
      </c>
      <c r="C1174" s="10">
        <v>46014</v>
      </c>
      <c r="D1174" s="10">
        <v>46014</v>
      </c>
      <c r="E1174" s="9" t="s">
        <v>1642</v>
      </c>
      <c r="F1174" s="9" t="s">
        <v>32</v>
      </c>
      <c r="G1174" s="9" t="s">
        <v>784</v>
      </c>
      <c r="H1174" s="11">
        <v>893.32</v>
      </c>
      <c r="I1174" s="11">
        <v>893.32</v>
      </c>
      <c r="J1174" s="11">
        <v>0</v>
      </c>
      <c r="K1174">
        <v>1</v>
      </c>
    </row>
    <row r="1175" spans="1:11" x14ac:dyDescent="0.25">
      <c r="A1175" s="9" t="s">
        <v>52</v>
      </c>
      <c r="B1175" s="9" t="s">
        <v>23</v>
      </c>
      <c r="C1175" s="10">
        <v>46014</v>
      </c>
      <c r="D1175" s="10">
        <v>46014</v>
      </c>
      <c r="E1175" s="9" t="s">
        <v>1643</v>
      </c>
      <c r="F1175" s="9" t="s">
        <v>32</v>
      </c>
      <c r="G1175" s="9" t="s">
        <v>920</v>
      </c>
      <c r="H1175" s="11">
        <v>5831.69</v>
      </c>
      <c r="I1175" s="11">
        <v>5831.69</v>
      </c>
      <c r="J1175" s="11">
        <v>0</v>
      </c>
      <c r="K1175">
        <v>1</v>
      </c>
    </row>
    <row r="1176" spans="1:11" x14ac:dyDescent="0.25">
      <c r="A1176" s="9" t="s">
        <v>52</v>
      </c>
      <c r="B1176" s="9" t="s">
        <v>23</v>
      </c>
      <c r="C1176" s="10">
        <v>46014</v>
      </c>
      <c r="D1176" s="10">
        <v>46014</v>
      </c>
      <c r="E1176" s="9" t="s">
        <v>1644</v>
      </c>
      <c r="F1176" s="9" t="s">
        <v>32</v>
      </c>
      <c r="G1176" s="9" t="s">
        <v>514</v>
      </c>
      <c r="H1176" s="11">
        <v>22825.81</v>
      </c>
      <c r="I1176" s="11">
        <v>22825.81</v>
      </c>
      <c r="J1176" s="11">
        <v>0</v>
      </c>
      <c r="K1176">
        <v>1</v>
      </c>
    </row>
    <row r="1177" spans="1:11" x14ac:dyDescent="0.25">
      <c r="A1177" s="9" t="s">
        <v>52</v>
      </c>
      <c r="B1177" s="9" t="s">
        <v>23</v>
      </c>
      <c r="C1177" s="10">
        <v>46014</v>
      </c>
      <c r="D1177" s="10">
        <v>46014</v>
      </c>
      <c r="E1177" s="9" t="s">
        <v>1645</v>
      </c>
      <c r="F1177" s="9" t="s">
        <v>32</v>
      </c>
      <c r="G1177" s="9" t="s">
        <v>208</v>
      </c>
      <c r="H1177" s="11">
        <v>1159.3</v>
      </c>
      <c r="I1177" s="11">
        <v>1159.3</v>
      </c>
      <c r="J1177" s="11">
        <v>0</v>
      </c>
      <c r="K1177">
        <v>1</v>
      </c>
    </row>
    <row r="1178" spans="1:11" x14ac:dyDescent="0.25">
      <c r="A1178" s="9" t="s">
        <v>52</v>
      </c>
      <c r="B1178" s="9" t="s">
        <v>23</v>
      </c>
      <c r="C1178" s="10">
        <v>46014</v>
      </c>
      <c r="D1178" s="10">
        <v>46014</v>
      </c>
      <c r="E1178" s="9" t="s">
        <v>1646</v>
      </c>
      <c r="F1178" s="9" t="s">
        <v>32</v>
      </c>
      <c r="G1178" s="9" t="s">
        <v>307</v>
      </c>
      <c r="H1178" s="11">
        <v>1673.29</v>
      </c>
      <c r="I1178" s="11">
        <v>1673.29</v>
      </c>
      <c r="J1178" s="11">
        <v>0</v>
      </c>
      <c r="K1178">
        <v>1</v>
      </c>
    </row>
    <row r="1179" spans="1:11" x14ac:dyDescent="0.25">
      <c r="A1179" s="9" t="s">
        <v>52</v>
      </c>
      <c r="B1179" s="9" t="s">
        <v>23</v>
      </c>
      <c r="C1179" s="10">
        <v>46014</v>
      </c>
      <c r="D1179" s="10">
        <v>46014</v>
      </c>
      <c r="E1179" s="9" t="s">
        <v>1647</v>
      </c>
      <c r="F1179" s="9" t="s">
        <v>32</v>
      </c>
      <c r="G1179" s="9" t="s">
        <v>709</v>
      </c>
      <c r="H1179" s="11">
        <v>1051.3800000000001</v>
      </c>
      <c r="I1179" s="11">
        <v>1051.3800000000001</v>
      </c>
      <c r="J1179" s="11">
        <v>0</v>
      </c>
      <c r="K1179">
        <v>1</v>
      </c>
    </row>
    <row r="1180" spans="1:11" x14ac:dyDescent="0.25">
      <c r="A1180" s="9" t="s">
        <v>52</v>
      </c>
      <c r="B1180" s="9" t="s">
        <v>23</v>
      </c>
      <c r="C1180" s="10">
        <v>46014</v>
      </c>
      <c r="D1180" s="10">
        <v>46014</v>
      </c>
      <c r="E1180" s="9" t="s">
        <v>1648</v>
      </c>
      <c r="F1180" s="9" t="s">
        <v>32</v>
      </c>
      <c r="G1180" s="9" t="s">
        <v>628</v>
      </c>
      <c r="H1180" s="11">
        <v>1118.8800000000001</v>
      </c>
      <c r="I1180" s="11">
        <v>1118.8800000000001</v>
      </c>
      <c r="J1180" s="11">
        <v>0</v>
      </c>
      <c r="K1180">
        <v>1</v>
      </c>
    </row>
    <row r="1181" spans="1:11" x14ac:dyDescent="0.25">
      <c r="A1181" s="9" t="s">
        <v>52</v>
      </c>
      <c r="B1181" s="9" t="s">
        <v>23</v>
      </c>
      <c r="C1181" s="10">
        <v>46014</v>
      </c>
      <c r="D1181" s="10">
        <v>46014</v>
      </c>
      <c r="E1181" s="9" t="s">
        <v>1649</v>
      </c>
      <c r="F1181" s="9" t="s">
        <v>32</v>
      </c>
      <c r="G1181" s="9" t="s">
        <v>398</v>
      </c>
      <c r="H1181" s="11">
        <v>2089.61</v>
      </c>
      <c r="I1181" s="11">
        <v>2089.61</v>
      </c>
      <c r="J1181" s="11">
        <v>0</v>
      </c>
      <c r="K1181">
        <v>1</v>
      </c>
    </row>
    <row r="1182" spans="1:11" x14ac:dyDescent="0.25">
      <c r="A1182" s="9" t="s">
        <v>52</v>
      </c>
      <c r="B1182" s="9" t="s">
        <v>23</v>
      </c>
      <c r="C1182" s="10">
        <v>46014</v>
      </c>
      <c r="D1182" s="10">
        <v>46014</v>
      </c>
      <c r="E1182" s="9" t="s">
        <v>1650</v>
      </c>
      <c r="F1182" s="9" t="s">
        <v>32</v>
      </c>
      <c r="G1182" s="9" t="s">
        <v>452</v>
      </c>
      <c r="H1182" s="11">
        <v>1260.54</v>
      </c>
      <c r="I1182" s="11">
        <v>1260.54</v>
      </c>
      <c r="J1182" s="11">
        <v>0</v>
      </c>
      <c r="K1182">
        <v>1</v>
      </c>
    </row>
    <row r="1183" spans="1:11" x14ac:dyDescent="0.25">
      <c r="A1183" s="9" t="s">
        <v>52</v>
      </c>
      <c r="B1183" s="9" t="s">
        <v>23</v>
      </c>
      <c r="C1183" s="10">
        <v>46014</v>
      </c>
      <c r="D1183" s="10">
        <v>46014</v>
      </c>
      <c r="E1183" s="9" t="s">
        <v>1651</v>
      </c>
      <c r="F1183" s="9" t="s">
        <v>32</v>
      </c>
      <c r="G1183" s="9" t="s">
        <v>674</v>
      </c>
      <c r="H1183" s="11">
        <v>13693.8</v>
      </c>
      <c r="I1183" s="11">
        <v>13693.8</v>
      </c>
      <c r="J1183" s="11">
        <v>0</v>
      </c>
      <c r="K1183">
        <v>1</v>
      </c>
    </row>
    <row r="1184" spans="1:11" x14ac:dyDescent="0.25">
      <c r="A1184" s="9" t="s">
        <v>52</v>
      </c>
      <c r="B1184" s="9" t="s">
        <v>23</v>
      </c>
      <c r="C1184" s="10">
        <v>46014</v>
      </c>
      <c r="D1184" s="10">
        <v>46014</v>
      </c>
      <c r="E1184" s="9" t="s">
        <v>1652</v>
      </c>
      <c r="F1184" s="9" t="s">
        <v>32</v>
      </c>
      <c r="G1184" s="9" t="s">
        <v>66</v>
      </c>
      <c r="H1184" s="11">
        <v>4319.6499999999996</v>
      </c>
      <c r="I1184" s="11">
        <v>4319.6499999999996</v>
      </c>
      <c r="J1184" s="11">
        <v>0</v>
      </c>
      <c r="K1184">
        <v>1</v>
      </c>
    </row>
    <row r="1185" spans="1:11" x14ac:dyDescent="0.25">
      <c r="A1185" s="9" t="s">
        <v>52</v>
      </c>
      <c r="B1185" s="9" t="s">
        <v>23</v>
      </c>
      <c r="C1185" s="10">
        <v>46014</v>
      </c>
      <c r="D1185" s="10">
        <v>46014</v>
      </c>
      <c r="E1185" s="9" t="s">
        <v>1653</v>
      </c>
      <c r="F1185" s="9" t="s">
        <v>32</v>
      </c>
      <c r="G1185" s="9" t="s">
        <v>273</v>
      </c>
      <c r="H1185" s="11">
        <v>14066.58</v>
      </c>
      <c r="I1185" s="11">
        <v>14066.58</v>
      </c>
      <c r="J1185" s="11">
        <v>0</v>
      </c>
      <c r="K1185">
        <v>1</v>
      </c>
    </row>
    <row r="1186" spans="1:11" x14ac:dyDescent="0.25">
      <c r="A1186" s="9" t="s">
        <v>52</v>
      </c>
      <c r="B1186" s="9" t="s">
        <v>23</v>
      </c>
      <c r="C1186" s="10">
        <v>46014</v>
      </c>
      <c r="D1186" s="10">
        <v>46014</v>
      </c>
      <c r="E1186" s="9" t="s">
        <v>1654</v>
      </c>
      <c r="F1186" s="9" t="s">
        <v>32</v>
      </c>
      <c r="G1186" s="9" t="s">
        <v>37</v>
      </c>
      <c r="H1186" s="11">
        <v>902.65</v>
      </c>
      <c r="I1186" s="11">
        <v>902.65</v>
      </c>
      <c r="J1186" s="11">
        <v>0</v>
      </c>
      <c r="K1186">
        <v>1</v>
      </c>
    </row>
    <row r="1187" spans="1:11" x14ac:dyDescent="0.25">
      <c r="A1187" s="9" t="s">
        <v>52</v>
      </c>
      <c r="B1187" s="9" t="s">
        <v>23</v>
      </c>
      <c r="C1187" s="10">
        <v>46014</v>
      </c>
      <c r="D1187" s="10">
        <v>46014</v>
      </c>
      <c r="E1187" s="9" t="s">
        <v>1655</v>
      </c>
      <c r="F1187" s="9" t="s">
        <v>32</v>
      </c>
      <c r="G1187" s="9" t="s">
        <v>1656</v>
      </c>
      <c r="H1187" s="11">
        <v>1573.38</v>
      </c>
      <c r="I1187" s="11">
        <v>1573.38</v>
      </c>
      <c r="J1187" s="11">
        <v>0</v>
      </c>
      <c r="K1187">
        <v>1</v>
      </c>
    </row>
    <row r="1188" spans="1:11" x14ac:dyDescent="0.25">
      <c r="A1188" s="9" t="s">
        <v>52</v>
      </c>
      <c r="B1188" s="9" t="s">
        <v>23</v>
      </c>
      <c r="C1188" s="10">
        <v>46014</v>
      </c>
      <c r="D1188" s="10">
        <v>46014</v>
      </c>
      <c r="E1188" s="9" t="s">
        <v>1657</v>
      </c>
      <c r="F1188" s="9" t="s">
        <v>32</v>
      </c>
      <c r="G1188" s="9" t="s">
        <v>309</v>
      </c>
      <c r="H1188" s="11">
        <v>5302.97</v>
      </c>
      <c r="I1188" s="11">
        <v>5302.97</v>
      </c>
      <c r="J1188" s="11">
        <v>0</v>
      </c>
      <c r="K1188">
        <v>1</v>
      </c>
    </row>
    <row r="1189" spans="1:11" x14ac:dyDescent="0.25">
      <c r="A1189" s="9" t="s">
        <v>52</v>
      </c>
      <c r="B1189" s="9" t="s">
        <v>23</v>
      </c>
      <c r="C1189" s="10">
        <v>46014</v>
      </c>
      <c r="D1189" s="10">
        <v>46014</v>
      </c>
      <c r="E1189" s="9" t="s">
        <v>1658</v>
      </c>
      <c r="F1189" s="9" t="s">
        <v>32</v>
      </c>
      <c r="G1189" s="9" t="s">
        <v>70</v>
      </c>
      <c r="H1189" s="11">
        <v>1786.78</v>
      </c>
      <c r="I1189" s="11">
        <v>1786.78</v>
      </c>
      <c r="J1189" s="11">
        <v>0</v>
      </c>
      <c r="K1189">
        <v>1</v>
      </c>
    </row>
    <row r="1190" spans="1:11" x14ac:dyDescent="0.25">
      <c r="A1190" s="9" t="s">
        <v>52</v>
      </c>
      <c r="B1190" s="9" t="s">
        <v>23</v>
      </c>
      <c r="C1190" s="10">
        <v>46014</v>
      </c>
      <c r="D1190" s="10">
        <v>46014</v>
      </c>
      <c r="E1190" s="9" t="s">
        <v>1659</v>
      </c>
      <c r="F1190" s="9" t="s">
        <v>32</v>
      </c>
      <c r="G1190" s="9" t="s">
        <v>82</v>
      </c>
      <c r="H1190" s="11">
        <v>2608.5300000000002</v>
      </c>
      <c r="I1190" s="11">
        <v>2608.5300000000002</v>
      </c>
      <c r="J1190" s="11">
        <v>0</v>
      </c>
      <c r="K1190">
        <v>1</v>
      </c>
    </row>
    <row r="1191" spans="1:11" x14ac:dyDescent="0.25">
      <c r="A1191" s="9" t="s">
        <v>52</v>
      </c>
      <c r="B1191" s="9" t="s">
        <v>23</v>
      </c>
      <c r="C1191" s="10">
        <v>46014</v>
      </c>
      <c r="D1191" s="10">
        <v>46014</v>
      </c>
      <c r="E1191" s="9" t="s">
        <v>1660</v>
      </c>
      <c r="F1191" s="9" t="s">
        <v>32</v>
      </c>
      <c r="G1191" s="9" t="s">
        <v>321</v>
      </c>
      <c r="H1191" s="11">
        <v>1456.65</v>
      </c>
      <c r="I1191" s="11">
        <v>1456.65</v>
      </c>
      <c r="J1191" s="11">
        <v>0</v>
      </c>
      <c r="K1191">
        <v>1</v>
      </c>
    </row>
    <row r="1192" spans="1:11" x14ac:dyDescent="0.25">
      <c r="A1192" s="9" t="s">
        <v>52</v>
      </c>
      <c r="B1192" s="9" t="s">
        <v>23</v>
      </c>
      <c r="C1192" s="10">
        <v>46014</v>
      </c>
      <c r="D1192" s="10">
        <v>46014</v>
      </c>
      <c r="E1192" s="9" t="s">
        <v>1661</v>
      </c>
      <c r="F1192" s="9" t="s">
        <v>32</v>
      </c>
      <c r="G1192" s="9" t="s">
        <v>741</v>
      </c>
      <c r="H1192" s="11">
        <v>323.16000000000003</v>
      </c>
      <c r="I1192" s="11">
        <v>323.16000000000003</v>
      </c>
      <c r="J1192" s="11">
        <v>0</v>
      </c>
      <c r="K1192">
        <v>1</v>
      </c>
    </row>
    <row r="1193" spans="1:11" x14ac:dyDescent="0.25">
      <c r="A1193" s="9" t="s">
        <v>52</v>
      </c>
      <c r="B1193" s="9" t="s">
        <v>23</v>
      </c>
      <c r="C1193" s="10">
        <v>46014</v>
      </c>
      <c r="D1193" s="10">
        <v>46014</v>
      </c>
      <c r="E1193" s="9" t="s">
        <v>1662</v>
      </c>
      <c r="F1193" s="9" t="s">
        <v>32</v>
      </c>
      <c r="G1193" s="9" t="s">
        <v>700</v>
      </c>
      <c r="H1193" s="11">
        <v>2097.8000000000002</v>
      </c>
      <c r="I1193" s="11">
        <v>2097.8000000000002</v>
      </c>
      <c r="J1193" s="11">
        <v>0</v>
      </c>
      <c r="K1193">
        <v>1</v>
      </c>
    </row>
    <row r="1194" spans="1:11" x14ac:dyDescent="0.25">
      <c r="A1194" s="9" t="s">
        <v>52</v>
      </c>
      <c r="B1194" s="9" t="s">
        <v>23</v>
      </c>
      <c r="C1194" s="10">
        <v>46014</v>
      </c>
      <c r="D1194" s="10">
        <v>46014</v>
      </c>
      <c r="E1194" s="9" t="s">
        <v>1663</v>
      </c>
      <c r="F1194" s="9" t="s">
        <v>32</v>
      </c>
      <c r="G1194" s="9" t="s">
        <v>1664</v>
      </c>
      <c r="H1194" s="11">
        <v>929.44</v>
      </c>
      <c r="I1194" s="11">
        <v>929.44</v>
      </c>
      <c r="J1194" s="11">
        <v>0</v>
      </c>
      <c r="K1194">
        <v>1</v>
      </c>
    </row>
    <row r="1195" spans="1:11" x14ac:dyDescent="0.25">
      <c r="A1195" s="9" t="s">
        <v>52</v>
      </c>
      <c r="B1195" s="9" t="s">
        <v>23</v>
      </c>
      <c r="C1195" s="10">
        <v>46014</v>
      </c>
      <c r="D1195" s="10">
        <v>46014</v>
      </c>
      <c r="E1195" s="9" t="s">
        <v>1665</v>
      </c>
      <c r="F1195" s="9" t="s">
        <v>32</v>
      </c>
      <c r="G1195" s="9" t="s">
        <v>398</v>
      </c>
      <c r="H1195" s="11">
        <v>4856.0600000000004</v>
      </c>
      <c r="I1195" s="11">
        <v>4856.0600000000004</v>
      </c>
      <c r="J1195" s="11">
        <v>0</v>
      </c>
      <c r="K1195">
        <v>1</v>
      </c>
    </row>
    <row r="1196" spans="1:11" x14ac:dyDescent="0.25">
      <c r="A1196" s="9" t="s">
        <v>52</v>
      </c>
      <c r="B1196" s="9" t="s">
        <v>23</v>
      </c>
      <c r="C1196" s="10">
        <v>46014</v>
      </c>
      <c r="D1196" s="10">
        <v>46014</v>
      </c>
      <c r="E1196" s="9" t="s">
        <v>1666</v>
      </c>
      <c r="F1196" s="9" t="s">
        <v>32</v>
      </c>
      <c r="G1196" s="9" t="s">
        <v>1069</v>
      </c>
      <c r="H1196" s="11">
        <v>662.92</v>
      </c>
      <c r="I1196" s="11">
        <v>662.92</v>
      </c>
      <c r="J1196" s="11">
        <v>0</v>
      </c>
      <c r="K1196">
        <v>1</v>
      </c>
    </row>
    <row r="1197" spans="1:11" x14ac:dyDescent="0.25">
      <c r="A1197" s="9" t="s">
        <v>52</v>
      </c>
      <c r="B1197" s="9" t="s">
        <v>23</v>
      </c>
      <c r="C1197" s="10">
        <v>46014</v>
      </c>
      <c r="D1197" s="10">
        <v>46014</v>
      </c>
      <c r="E1197" s="9" t="s">
        <v>1667</v>
      </c>
      <c r="F1197" s="9" t="s">
        <v>32</v>
      </c>
      <c r="G1197" s="9" t="s">
        <v>1656</v>
      </c>
      <c r="H1197" s="11">
        <v>2101.2399999999998</v>
      </c>
      <c r="I1197" s="11">
        <v>2101.2399999999998</v>
      </c>
      <c r="J1197" s="11">
        <v>0</v>
      </c>
      <c r="K1197">
        <v>1</v>
      </c>
    </row>
    <row r="1198" spans="1:11" x14ac:dyDescent="0.25">
      <c r="A1198" s="9" t="s">
        <v>52</v>
      </c>
      <c r="B1198" s="9" t="s">
        <v>23</v>
      </c>
      <c r="C1198" s="10">
        <v>46014</v>
      </c>
      <c r="D1198" s="10">
        <v>46014</v>
      </c>
      <c r="E1198" s="9" t="s">
        <v>1668</v>
      </c>
      <c r="F1198" s="9" t="s">
        <v>32</v>
      </c>
      <c r="G1198" s="9" t="s">
        <v>1418</v>
      </c>
      <c r="H1198" s="11">
        <v>732.72</v>
      </c>
      <c r="I1198" s="11">
        <v>732.72</v>
      </c>
      <c r="J1198" s="11">
        <v>0</v>
      </c>
      <c r="K1198">
        <v>1</v>
      </c>
    </row>
    <row r="1199" spans="1:11" x14ac:dyDescent="0.25">
      <c r="A1199" s="9" t="s">
        <v>52</v>
      </c>
      <c r="B1199" s="9" t="s">
        <v>23</v>
      </c>
      <c r="C1199" s="10">
        <v>46014</v>
      </c>
      <c r="D1199" s="10">
        <v>46014</v>
      </c>
      <c r="E1199" s="9" t="s">
        <v>1669</v>
      </c>
      <c r="F1199" s="9" t="s">
        <v>32</v>
      </c>
      <c r="G1199" s="9" t="s">
        <v>312</v>
      </c>
      <c r="H1199" s="11">
        <v>7899.23</v>
      </c>
      <c r="I1199" s="11">
        <v>7899.23</v>
      </c>
      <c r="J1199" s="11">
        <v>0</v>
      </c>
      <c r="K1199">
        <v>1</v>
      </c>
    </row>
    <row r="1200" spans="1:11" x14ac:dyDescent="0.25">
      <c r="A1200" s="9" t="s">
        <v>52</v>
      </c>
      <c r="B1200" s="9" t="s">
        <v>23</v>
      </c>
      <c r="C1200" s="10">
        <v>46014</v>
      </c>
      <c r="D1200" s="10">
        <v>46014</v>
      </c>
      <c r="E1200" s="9" t="s">
        <v>1670</v>
      </c>
      <c r="F1200" s="9" t="s">
        <v>32</v>
      </c>
      <c r="G1200" s="9" t="s">
        <v>393</v>
      </c>
      <c r="H1200" s="11">
        <v>3018.09</v>
      </c>
      <c r="I1200" s="11">
        <v>3018.09</v>
      </c>
      <c r="J1200" s="11">
        <v>0</v>
      </c>
      <c r="K1200">
        <v>1</v>
      </c>
    </row>
    <row r="1201" spans="1:11" x14ac:dyDescent="0.25">
      <c r="A1201" s="9" t="s">
        <v>52</v>
      </c>
      <c r="B1201" s="9" t="s">
        <v>23</v>
      </c>
      <c r="C1201" s="10">
        <v>46014</v>
      </c>
      <c r="D1201" s="10">
        <v>46014</v>
      </c>
      <c r="E1201" s="9" t="s">
        <v>1671</v>
      </c>
      <c r="F1201" s="9" t="s">
        <v>32</v>
      </c>
      <c r="G1201" s="9" t="s">
        <v>1239</v>
      </c>
      <c r="H1201" s="11">
        <v>3140.01</v>
      </c>
      <c r="I1201" s="11">
        <v>3140.01</v>
      </c>
      <c r="J1201" s="11">
        <v>0</v>
      </c>
      <c r="K1201">
        <v>1</v>
      </c>
    </row>
    <row r="1202" spans="1:11" x14ac:dyDescent="0.25">
      <c r="A1202" s="9" t="s">
        <v>52</v>
      </c>
      <c r="B1202" s="9" t="s">
        <v>23</v>
      </c>
      <c r="C1202" s="10">
        <v>46014</v>
      </c>
      <c r="D1202" s="10">
        <v>46014</v>
      </c>
      <c r="E1202" s="9" t="s">
        <v>1672</v>
      </c>
      <c r="F1202" s="9" t="s">
        <v>32</v>
      </c>
      <c r="G1202" s="9" t="s">
        <v>1026</v>
      </c>
      <c r="H1202" s="11">
        <v>6361.39</v>
      </c>
      <c r="I1202" s="11">
        <v>6361.39</v>
      </c>
      <c r="J1202" s="11">
        <v>0</v>
      </c>
      <c r="K1202">
        <v>1</v>
      </c>
    </row>
    <row r="1203" spans="1:11" x14ac:dyDescent="0.25">
      <c r="A1203" s="9" t="s">
        <v>52</v>
      </c>
      <c r="B1203" s="9" t="s">
        <v>23</v>
      </c>
      <c r="C1203" s="10">
        <v>46014</v>
      </c>
      <c r="D1203" s="10">
        <v>46014</v>
      </c>
      <c r="E1203" s="9" t="s">
        <v>1673</v>
      </c>
      <c r="F1203" s="9" t="s">
        <v>32</v>
      </c>
      <c r="G1203" s="9" t="s">
        <v>1674</v>
      </c>
      <c r="H1203" s="11">
        <v>2182.3000000000002</v>
      </c>
      <c r="I1203" s="11">
        <v>2182.3000000000002</v>
      </c>
      <c r="J1203" s="11">
        <v>0</v>
      </c>
      <c r="K1203">
        <v>1</v>
      </c>
    </row>
    <row r="1204" spans="1:11" x14ac:dyDescent="0.25">
      <c r="A1204" s="9" t="s">
        <v>52</v>
      </c>
      <c r="B1204" s="9" t="s">
        <v>23</v>
      </c>
      <c r="C1204" s="10">
        <v>46014</v>
      </c>
      <c r="D1204" s="10">
        <v>46014</v>
      </c>
      <c r="E1204" s="9" t="s">
        <v>1675</v>
      </c>
      <c r="F1204" s="9" t="s">
        <v>32</v>
      </c>
      <c r="G1204" s="9" t="s">
        <v>58</v>
      </c>
      <c r="H1204" s="11">
        <v>6919.74</v>
      </c>
      <c r="I1204" s="11">
        <v>6919.74</v>
      </c>
      <c r="J1204" s="11">
        <v>0</v>
      </c>
      <c r="K1204">
        <v>1</v>
      </c>
    </row>
    <row r="1205" spans="1:11" x14ac:dyDescent="0.25">
      <c r="A1205" s="9" t="s">
        <v>52</v>
      </c>
      <c r="B1205" s="9" t="s">
        <v>23</v>
      </c>
      <c r="C1205" s="10">
        <v>46014</v>
      </c>
      <c r="D1205" s="10">
        <v>46014</v>
      </c>
      <c r="E1205" s="9" t="s">
        <v>1676</v>
      </c>
      <c r="F1205" s="9" t="s">
        <v>32</v>
      </c>
      <c r="G1205" s="9" t="s">
        <v>1569</v>
      </c>
      <c r="H1205" s="11">
        <v>561.35</v>
      </c>
      <c r="I1205" s="11">
        <v>561.35</v>
      </c>
      <c r="J1205" s="11">
        <v>0</v>
      </c>
      <c r="K1205">
        <v>1</v>
      </c>
    </row>
    <row r="1206" spans="1:11" x14ac:dyDescent="0.25">
      <c r="A1206" s="9" t="s">
        <v>52</v>
      </c>
      <c r="B1206" s="9" t="s">
        <v>23</v>
      </c>
      <c r="C1206" s="10">
        <v>46014</v>
      </c>
      <c r="D1206" s="10">
        <v>46014</v>
      </c>
      <c r="E1206" s="9" t="s">
        <v>1677</v>
      </c>
      <c r="F1206" s="9" t="s">
        <v>32</v>
      </c>
      <c r="G1206" s="9" t="s">
        <v>458</v>
      </c>
      <c r="H1206" s="11">
        <v>9052.4500000000007</v>
      </c>
      <c r="I1206" s="11">
        <v>9052.4500000000007</v>
      </c>
      <c r="J1206" s="11">
        <v>0</v>
      </c>
      <c r="K1206">
        <v>1</v>
      </c>
    </row>
    <row r="1207" spans="1:11" x14ac:dyDescent="0.25">
      <c r="A1207" s="9" t="s">
        <v>52</v>
      </c>
      <c r="B1207" s="9" t="s">
        <v>23</v>
      </c>
      <c r="C1207" s="10">
        <v>46014</v>
      </c>
      <c r="D1207" s="10">
        <v>46014</v>
      </c>
      <c r="E1207" s="9" t="s">
        <v>1678</v>
      </c>
      <c r="F1207" s="9" t="s">
        <v>32</v>
      </c>
      <c r="G1207" s="9" t="s">
        <v>230</v>
      </c>
      <c r="H1207" s="11">
        <v>2995.34</v>
      </c>
      <c r="I1207" s="11">
        <v>2995.34</v>
      </c>
      <c r="J1207" s="11">
        <v>0</v>
      </c>
      <c r="K1207">
        <v>1</v>
      </c>
    </row>
    <row r="1208" spans="1:11" x14ac:dyDescent="0.25">
      <c r="A1208" s="9" t="s">
        <v>52</v>
      </c>
      <c r="B1208" s="9" t="s">
        <v>23</v>
      </c>
      <c r="C1208" s="10">
        <v>46014</v>
      </c>
      <c r="D1208" s="10">
        <v>46014</v>
      </c>
      <c r="E1208" s="9" t="s">
        <v>1679</v>
      </c>
      <c r="F1208" s="9" t="s">
        <v>32</v>
      </c>
      <c r="G1208" s="9" t="s">
        <v>245</v>
      </c>
      <c r="H1208" s="11">
        <v>3599.02</v>
      </c>
      <c r="I1208" s="11">
        <v>3599.02</v>
      </c>
      <c r="J1208" s="11">
        <v>0</v>
      </c>
      <c r="K1208">
        <v>1</v>
      </c>
    </row>
    <row r="1209" spans="1:11" x14ac:dyDescent="0.25">
      <c r="A1209" s="9" t="s">
        <v>52</v>
      </c>
      <c r="B1209" s="9" t="s">
        <v>55</v>
      </c>
      <c r="C1209" s="10">
        <v>46015</v>
      </c>
      <c r="D1209" s="10">
        <v>46015</v>
      </c>
      <c r="E1209" s="9" t="s">
        <v>1680</v>
      </c>
      <c r="F1209" s="9" t="s">
        <v>57</v>
      </c>
      <c r="G1209" s="9" t="s">
        <v>1681</v>
      </c>
      <c r="H1209" s="11">
        <v>2427.48</v>
      </c>
      <c r="I1209" s="11">
        <v>2427.48</v>
      </c>
      <c r="J1209" s="11">
        <v>0</v>
      </c>
      <c r="K1209">
        <v>1</v>
      </c>
    </row>
    <row r="1210" spans="1:11" x14ac:dyDescent="0.25">
      <c r="A1210" s="9" t="s">
        <v>52</v>
      </c>
      <c r="B1210" s="9" t="s">
        <v>23</v>
      </c>
      <c r="C1210" s="10">
        <v>46015</v>
      </c>
      <c r="D1210" s="10">
        <v>46015</v>
      </c>
      <c r="E1210" s="9" t="s">
        <v>1682</v>
      </c>
      <c r="F1210" s="9" t="s">
        <v>32</v>
      </c>
      <c r="G1210" s="9" t="s">
        <v>256</v>
      </c>
      <c r="H1210" s="11">
        <v>3853.97</v>
      </c>
      <c r="I1210" s="11">
        <v>3853.97</v>
      </c>
      <c r="J1210" s="11">
        <v>0</v>
      </c>
      <c r="K1210">
        <v>1</v>
      </c>
    </row>
    <row r="1211" spans="1:11" x14ac:dyDescent="0.25">
      <c r="A1211" s="9" t="s">
        <v>52</v>
      </c>
      <c r="B1211" s="9" t="s">
        <v>55</v>
      </c>
      <c r="C1211" s="10">
        <v>46015</v>
      </c>
      <c r="D1211" s="10">
        <v>46015</v>
      </c>
      <c r="E1211" s="9" t="s">
        <v>1683</v>
      </c>
      <c r="F1211" s="9" t="s">
        <v>57</v>
      </c>
      <c r="G1211" s="9" t="s">
        <v>1684</v>
      </c>
      <c r="H1211" s="11">
        <v>650.33000000000004</v>
      </c>
      <c r="I1211" s="11">
        <v>650.33000000000004</v>
      </c>
      <c r="J1211" s="11">
        <v>0</v>
      </c>
      <c r="K1211">
        <v>1</v>
      </c>
    </row>
    <row r="1212" spans="1:11" x14ac:dyDescent="0.25">
      <c r="A1212" s="9" t="s">
        <v>52</v>
      </c>
      <c r="B1212" s="9" t="s">
        <v>23</v>
      </c>
      <c r="C1212" s="10">
        <v>46015</v>
      </c>
      <c r="D1212" s="10">
        <v>46015</v>
      </c>
      <c r="E1212" s="9" t="s">
        <v>1685</v>
      </c>
      <c r="F1212" s="9" t="s">
        <v>32</v>
      </c>
      <c r="G1212" s="9" t="s">
        <v>66</v>
      </c>
      <c r="H1212" s="11">
        <v>2521.89</v>
      </c>
      <c r="I1212" s="11">
        <v>2521.89</v>
      </c>
      <c r="J1212" s="11">
        <v>0</v>
      </c>
      <c r="K1212">
        <v>1</v>
      </c>
    </row>
    <row r="1213" spans="1:11" x14ac:dyDescent="0.25">
      <c r="A1213" s="9" t="s">
        <v>52</v>
      </c>
      <c r="B1213" s="9" t="s">
        <v>23</v>
      </c>
      <c r="C1213" s="10">
        <v>46015</v>
      </c>
      <c r="D1213" s="10">
        <v>46015</v>
      </c>
      <c r="E1213" s="9" t="s">
        <v>1686</v>
      </c>
      <c r="F1213" s="9" t="s">
        <v>32</v>
      </c>
      <c r="G1213" s="9" t="s">
        <v>281</v>
      </c>
      <c r="H1213" s="11">
        <v>10790.29</v>
      </c>
      <c r="I1213" s="11">
        <v>10790.29</v>
      </c>
      <c r="J1213" s="11">
        <v>0</v>
      </c>
      <c r="K1213">
        <v>1</v>
      </c>
    </row>
    <row r="1214" spans="1:11" x14ac:dyDescent="0.25">
      <c r="A1214" s="9" t="s">
        <v>52</v>
      </c>
      <c r="B1214" s="9" t="s">
        <v>23</v>
      </c>
      <c r="C1214" s="10">
        <v>46015</v>
      </c>
      <c r="D1214" s="10">
        <v>46015</v>
      </c>
      <c r="E1214" s="9" t="s">
        <v>1687</v>
      </c>
      <c r="F1214" s="9" t="s">
        <v>32</v>
      </c>
      <c r="G1214" s="9" t="s">
        <v>920</v>
      </c>
      <c r="H1214" s="11">
        <v>6462.38</v>
      </c>
      <c r="I1214" s="11">
        <v>6462.38</v>
      </c>
      <c r="J1214" s="11">
        <v>0</v>
      </c>
      <c r="K1214">
        <v>1</v>
      </c>
    </row>
    <row r="1215" spans="1:11" x14ac:dyDescent="0.25">
      <c r="A1215" s="9" t="s">
        <v>52</v>
      </c>
      <c r="B1215" s="9" t="s">
        <v>23</v>
      </c>
      <c r="C1215" s="10">
        <v>46015</v>
      </c>
      <c r="D1215" s="10">
        <v>46015</v>
      </c>
      <c r="E1215" s="9" t="s">
        <v>1688</v>
      </c>
      <c r="F1215" s="9" t="s">
        <v>32</v>
      </c>
      <c r="G1215" s="9" t="s">
        <v>264</v>
      </c>
      <c r="H1215" s="11">
        <v>4116.95</v>
      </c>
      <c r="I1215" s="11">
        <v>4116.95</v>
      </c>
      <c r="J1215" s="11">
        <v>0</v>
      </c>
      <c r="K1215">
        <v>1</v>
      </c>
    </row>
    <row r="1216" spans="1:11" x14ac:dyDescent="0.25">
      <c r="A1216" s="9" t="s">
        <v>52</v>
      </c>
      <c r="B1216" s="9" t="s">
        <v>23</v>
      </c>
      <c r="C1216" s="10">
        <v>46015</v>
      </c>
      <c r="D1216" s="10">
        <v>46015</v>
      </c>
      <c r="E1216" s="9" t="s">
        <v>1689</v>
      </c>
      <c r="F1216" s="9" t="s">
        <v>32</v>
      </c>
      <c r="G1216" s="9" t="s">
        <v>266</v>
      </c>
      <c r="H1216" s="11">
        <v>18875.93</v>
      </c>
      <c r="I1216" s="11">
        <v>18875.93</v>
      </c>
      <c r="J1216" s="11">
        <v>0</v>
      </c>
      <c r="K1216">
        <v>1</v>
      </c>
    </row>
    <row r="1217" spans="1:11" x14ac:dyDescent="0.25">
      <c r="A1217" s="9" t="s">
        <v>52</v>
      </c>
      <c r="B1217" s="9" t="s">
        <v>23</v>
      </c>
      <c r="C1217" s="10">
        <v>46015</v>
      </c>
      <c r="D1217" s="10">
        <v>46015</v>
      </c>
      <c r="E1217" s="9" t="s">
        <v>1690</v>
      </c>
      <c r="F1217" s="9" t="s">
        <v>32</v>
      </c>
      <c r="G1217" s="9" t="s">
        <v>658</v>
      </c>
      <c r="H1217" s="11">
        <v>5706.48</v>
      </c>
      <c r="I1217" s="11">
        <v>5706.48</v>
      </c>
      <c r="J1217" s="11">
        <v>0</v>
      </c>
      <c r="K1217">
        <v>1</v>
      </c>
    </row>
    <row r="1218" spans="1:11" x14ac:dyDescent="0.25">
      <c r="A1218" s="9" t="s">
        <v>52</v>
      </c>
      <c r="B1218" s="9" t="s">
        <v>23</v>
      </c>
      <c r="C1218" s="10">
        <v>46015</v>
      </c>
      <c r="D1218" s="10">
        <v>46015</v>
      </c>
      <c r="E1218" s="9" t="s">
        <v>1691</v>
      </c>
      <c r="F1218" s="9" t="s">
        <v>32</v>
      </c>
      <c r="G1218" s="9" t="s">
        <v>438</v>
      </c>
      <c r="H1218" s="11">
        <v>895.05</v>
      </c>
      <c r="I1218" s="11">
        <v>895.05</v>
      </c>
      <c r="J1218" s="11">
        <v>0</v>
      </c>
      <c r="K1218">
        <v>1</v>
      </c>
    </row>
    <row r="1219" spans="1:11" x14ac:dyDescent="0.25">
      <c r="A1219" s="9" t="s">
        <v>52</v>
      </c>
      <c r="B1219" s="9" t="s">
        <v>23</v>
      </c>
      <c r="C1219" s="10">
        <v>46015</v>
      </c>
      <c r="D1219" s="10">
        <v>46015</v>
      </c>
      <c r="E1219" s="9" t="s">
        <v>1692</v>
      </c>
      <c r="F1219" s="9" t="s">
        <v>32</v>
      </c>
      <c r="G1219" s="9" t="s">
        <v>76</v>
      </c>
      <c r="H1219" s="11">
        <v>1638.83</v>
      </c>
      <c r="I1219" s="11">
        <v>1638.83</v>
      </c>
      <c r="J1219" s="11">
        <v>0</v>
      </c>
      <c r="K1219">
        <v>1</v>
      </c>
    </row>
    <row r="1220" spans="1:11" x14ac:dyDescent="0.25">
      <c r="A1220" s="9" t="s">
        <v>52</v>
      </c>
      <c r="B1220" s="9" t="s">
        <v>23</v>
      </c>
      <c r="C1220" s="10">
        <v>46015</v>
      </c>
      <c r="D1220" s="10">
        <v>46015</v>
      </c>
      <c r="E1220" s="9" t="s">
        <v>1693</v>
      </c>
      <c r="F1220" s="9" t="s">
        <v>32</v>
      </c>
      <c r="G1220" s="9" t="s">
        <v>413</v>
      </c>
      <c r="H1220" s="11">
        <v>4584.3500000000004</v>
      </c>
      <c r="I1220" s="11">
        <v>4584.3500000000004</v>
      </c>
      <c r="J1220" s="11">
        <v>0</v>
      </c>
      <c r="K1220">
        <v>1</v>
      </c>
    </row>
    <row r="1221" spans="1:11" x14ac:dyDescent="0.25">
      <c r="A1221" s="9" t="s">
        <v>52</v>
      </c>
      <c r="B1221" s="9" t="s">
        <v>23</v>
      </c>
      <c r="C1221" s="10">
        <v>46015</v>
      </c>
      <c r="D1221" s="10">
        <v>46015</v>
      </c>
      <c r="E1221" s="9" t="s">
        <v>1694</v>
      </c>
      <c r="F1221" s="9" t="s">
        <v>32</v>
      </c>
      <c r="G1221" s="9" t="s">
        <v>658</v>
      </c>
      <c r="H1221" s="11">
        <v>2522.75</v>
      </c>
      <c r="I1221" s="11">
        <v>2522.75</v>
      </c>
      <c r="J1221" s="11">
        <v>0</v>
      </c>
      <c r="K1221">
        <v>1</v>
      </c>
    </row>
    <row r="1222" spans="1:11" x14ac:dyDescent="0.25">
      <c r="A1222" s="9" t="s">
        <v>52</v>
      </c>
      <c r="B1222" s="9" t="s">
        <v>23</v>
      </c>
      <c r="C1222" s="10">
        <v>46015</v>
      </c>
      <c r="D1222" s="10">
        <v>46015</v>
      </c>
      <c r="E1222" s="9" t="s">
        <v>1695</v>
      </c>
      <c r="F1222" s="9" t="s">
        <v>32</v>
      </c>
      <c r="G1222" s="9" t="s">
        <v>341</v>
      </c>
      <c r="H1222" s="11">
        <v>997.98</v>
      </c>
      <c r="I1222" s="11">
        <v>997.98</v>
      </c>
      <c r="J1222" s="11">
        <v>0</v>
      </c>
      <c r="K1222">
        <v>1</v>
      </c>
    </row>
    <row r="1223" spans="1:11" x14ac:dyDescent="0.25">
      <c r="A1223" s="9" t="s">
        <v>52</v>
      </c>
      <c r="B1223" s="9" t="s">
        <v>23</v>
      </c>
      <c r="C1223" s="10">
        <v>46015</v>
      </c>
      <c r="D1223" s="10">
        <v>46015</v>
      </c>
      <c r="E1223" s="9" t="s">
        <v>1696</v>
      </c>
      <c r="F1223" s="9" t="s">
        <v>32</v>
      </c>
      <c r="G1223" s="9" t="s">
        <v>628</v>
      </c>
      <c r="H1223" s="11">
        <v>798.72</v>
      </c>
      <c r="I1223" s="11">
        <v>798.72</v>
      </c>
      <c r="J1223" s="11">
        <v>0</v>
      </c>
      <c r="K1223">
        <v>1</v>
      </c>
    </row>
    <row r="1224" spans="1:11" x14ac:dyDescent="0.25">
      <c r="A1224" s="9" t="s">
        <v>52</v>
      </c>
      <c r="B1224" s="9" t="s">
        <v>23</v>
      </c>
      <c r="C1224" s="10">
        <v>46015</v>
      </c>
      <c r="D1224" s="10">
        <v>46015</v>
      </c>
      <c r="E1224" s="9" t="s">
        <v>1697</v>
      </c>
      <c r="F1224" s="9" t="s">
        <v>32</v>
      </c>
      <c r="G1224" s="9" t="s">
        <v>259</v>
      </c>
      <c r="H1224" s="11">
        <v>6472.23</v>
      </c>
      <c r="I1224" s="11">
        <v>6472.23</v>
      </c>
      <c r="J1224" s="11">
        <v>0</v>
      </c>
      <c r="K1224">
        <v>1</v>
      </c>
    </row>
    <row r="1225" spans="1:11" x14ac:dyDescent="0.25">
      <c r="A1225" s="9" t="s">
        <v>52</v>
      </c>
      <c r="B1225" s="9" t="s">
        <v>23</v>
      </c>
      <c r="C1225" s="10">
        <v>46015</v>
      </c>
      <c r="D1225" s="10">
        <v>46015</v>
      </c>
      <c r="E1225" s="9" t="s">
        <v>1698</v>
      </c>
      <c r="F1225" s="9" t="s">
        <v>32</v>
      </c>
      <c r="G1225" s="9" t="s">
        <v>895</v>
      </c>
      <c r="H1225" s="11">
        <v>429.55</v>
      </c>
      <c r="I1225" s="11">
        <v>429.55</v>
      </c>
      <c r="J1225" s="11">
        <v>0</v>
      </c>
      <c r="K1225">
        <v>1</v>
      </c>
    </row>
    <row r="1226" spans="1:11" x14ac:dyDescent="0.25">
      <c r="A1226" s="9" t="s">
        <v>52</v>
      </c>
      <c r="B1226" s="9" t="s">
        <v>23</v>
      </c>
      <c r="C1226" s="10">
        <v>46015</v>
      </c>
      <c r="D1226" s="10">
        <v>46015</v>
      </c>
      <c r="E1226" s="9" t="s">
        <v>1699</v>
      </c>
      <c r="F1226" s="9" t="s">
        <v>32</v>
      </c>
      <c r="G1226" s="9" t="s">
        <v>279</v>
      </c>
      <c r="H1226" s="11">
        <v>14113.96</v>
      </c>
      <c r="I1226" s="11">
        <v>14113.96</v>
      </c>
      <c r="J1226" s="11">
        <v>0</v>
      </c>
      <c r="K1226">
        <v>1</v>
      </c>
    </row>
    <row r="1227" spans="1:11" x14ac:dyDescent="0.25">
      <c r="A1227" s="9" t="s">
        <v>52</v>
      </c>
      <c r="B1227" s="9" t="s">
        <v>23</v>
      </c>
      <c r="C1227" s="10">
        <v>46015</v>
      </c>
      <c r="D1227" s="10">
        <v>46015</v>
      </c>
      <c r="E1227" s="9" t="s">
        <v>1700</v>
      </c>
      <c r="F1227" s="9" t="s">
        <v>141</v>
      </c>
      <c r="G1227" s="9" t="s">
        <v>1701</v>
      </c>
      <c r="H1227" s="11">
        <v>-8602.56</v>
      </c>
      <c r="I1227" s="11">
        <v>-8602.56</v>
      </c>
      <c r="J1227" s="11">
        <v>0</v>
      </c>
      <c r="K1227">
        <v>1</v>
      </c>
    </row>
    <row r="1228" spans="1:11" x14ac:dyDescent="0.25">
      <c r="A1228" s="9" t="s">
        <v>52</v>
      </c>
      <c r="B1228" s="9" t="s">
        <v>23</v>
      </c>
      <c r="C1228" s="10">
        <v>46015</v>
      </c>
      <c r="D1228" s="10">
        <v>46015</v>
      </c>
      <c r="E1228" s="9" t="s">
        <v>1702</v>
      </c>
      <c r="F1228" s="9" t="s">
        <v>32</v>
      </c>
      <c r="G1228" s="9" t="s">
        <v>362</v>
      </c>
      <c r="H1228" s="11">
        <v>1226.48</v>
      </c>
      <c r="I1228" s="11">
        <v>1226.48</v>
      </c>
      <c r="J1228" s="11">
        <v>0</v>
      </c>
      <c r="K1228">
        <v>1</v>
      </c>
    </row>
    <row r="1229" spans="1:11" x14ac:dyDescent="0.25">
      <c r="A1229" s="9" t="s">
        <v>52</v>
      </c>
      <c r="B1229" s="9" t="s">
        <v>23</v>
      </c>
      <c r="C1229" s="10">
        <v>46015</v>
      </c>
      <c r="D1229" s="10">
        <v>46015</v>
      </c>
      <c r="E1229" s="9" t="s">
        <v>1703</v>
      </c>
      <c r="F1229" s="9" t="s">
        <v>32</v>
      </c>
      <c r="G1229" s="9" t="s">
        <v>684</v>
      </c>
      <c r="H1229" s="11">
        <v>2010.03</v>
      </c>
      <c r="I1229" s="11">
        <v>2010.03</v>
      </c>
      <c r="J1229" s="11">
        <v>0</v>
      </c>
      <c r="K1229">
        <v>1</v>
      </c>
    </row>
    <row r="1230" spans="1:11" x14ac:dyDescent="0.25">
      <c r="A1230" s="9" t="s">
        <v>52</v>
      </c>
      <c r="B1230" s="9" t="s">
        <v>23</v>
      </c>
      <c r="C1230" s="10">
        <v>46015</v>
      </c>
      <c r="D1230" s="10">
        <v>46015</v>
      </c>
      <c r="E1230" s="9" t="s">
        <v>1704</v>
      </c>
      <c r="F1230" s="9" t="s">
        <v>141</v>
      </c>
      <c r="G1230" s="9" t="s">
        <v>1705</v>
      </c>
      <c r="H1230" s="11">
        <v>-16909.830000000002</v>
      </c>
      <c r="I1230" s="11">
        <v>-16909.830000000002</v>
      </c>
      <c r="J1230" s="11">
        <v>0</v>
      </c>
      <c r="K1230">
        <v>1</v>
      </c>
    </row>
    <row r="1231" spans="1:11" x14ac:dyDescent="0.25">
      <c r="A1231" s="9" t="s">
        <v>52</v>
      </c>
      <c r="B1231" s="9" t="s">
        <v>23</v>
      </c>
      <c r="C1231" s="10">
        <v>46015</v>
      </c>
      <c r="D1231" s="10">
        <v>46015</v>
      </c>
      <c r="E1231" s="9" t="s">
        <v>1706</v>
      </c>
      <c r="F1231" s="9" t="s">
        <v>32</v>
      </c>
      <c r="G1231" s="9" t="s">
        <v>1048</v>
      </c>
      <c r="H1231" s="11">
        <v>2072.88</v>
      </c>
      <c r="I1231" s="11">
        <v>2072.88</v>
      </c>
      <c r="J1231" s="11">
        <v>0</v>
      </c>
      <c r="K1231">
        <v>1</v>
      </c>
    </row>
    <row r="1232" spans="1:11" x14ac:dyDescent="0.25">
      <c r="A1232" s="9" t="s">
        <v>52</v>
      </c>
      <c r="B1232" s="9" t="s">
        <v>23</v>
      </c>
      <c r="C1232" s="10">
        <v>46015</v>
      </c>
      <c r="D1232" s="10">
        <v>46015</v>
      </c>
      <c r="E1232" s="9" t="s">
        <v>1707</v>
      </c>
      <c r="F1232" s="9" t="s">
        <v>32</v>
      </c>
      <c r="G1232" s="9" t="s">
        <v>295</v>
      </c>
      <c r="H1232" s="11">
        <v>4085.1</v>
      </c>
      <c r="I1232" s="11">
        <v>4085.1</v>
      </c>
      <c r="J1232" s="11">
        <v>0</v>
      </c>
      <c r="K1232">
        <v>1</v>
      </c>
    </row>
    <row r="1233" spans="1:11" x14ac:dyDescent="0.25">
      <c r="A1233" s="9" t="s">
        <v>52</v>
      </c>
      <c r="B1233" s="9" t="s">
        <v>23</v>
      </c>
      <c r="C1233" s="10">
        <v>46015</v>
      </c>
      <c r="D1233" s="10">
        <v>46015</v>
      </c>
      <c r="E1233" s="9" t="s">
        <v>1708</v>
      </c>
      <c r="F1233" s="9" t="s">
        <v>32</v>
      </c>
      <c r="G1233" s="9" t="s">
        <v>670</v>
      </c>
      <c r="H1233" s="11">
        <v>4352.7299999999996</v>
      </c>
      <c r="I1233" s="11">
        <v>4352.7299999999996</v>
      </c>
      <c r="J1233" s="11">
        <v>0</v>
      </c>
      <c r="K1233">
        <v>1</v>
      </c>
    </row>
    <row r="1234" spans="1:11" x14ac:dyDescent="0.25">
      <c r="A1234" s="9" t="s">
        <v>52</v>
      </c>
      <c r="B1234" s="9" t="s">
        <v>23</v>
      </c>
      <c r="C1234" s="10">
        <v>46015</v>
      </c>
      <c r="D1234" s="10">
        <v>46015</v>
      </c>
      <c r="E1234" s="9" t="s">
        <v>1709</v>
      </c>
      <c r="F1234" s="9" t="s">
        <v>32</v>
      </c>
      <c r="G1234" s="9" t="s">
        <v>1069</v>
      </c>
      <c r="H1234" s="11">
        <v>3814.36</v>
      </c>
      <c r="I1234" s="11">
        <v>3814.36</v>
      </c>
      <c r="J1234" s="11">
        <v>0</v>
      </c>
      <c r="K1234">
        <v>1</v>
      </c>
    </row>
    <row r="1235" spans="1:11" x14ac:dyDescent="0.25">
      <c r="A1235" s="9" t="s">
        <v>52</v>
      </c>
      <c r="B1235" s="9" t="s">
        <v>23</v>
      </c>
      <c r="C1235" s="10">
        <v>46015</v>
      </c>
      <c r="D1235" s="10">
        <v>46015</v>
      </c>
      <c r="E1235" s="9" t="s">
        <v>1710</v>
      </c>
      <c r="F1235" s="9" t="s">
        <v>32</v>
      </c>
      <c r="G1235" s="9" t="s">
        <v>264</v>
      </c>
      <c r="H1235" s="11">
        <v>6943.74</v>
      </c>
      <c r="I1235" s="11">
        <v>6943.74</v>
      </c>
      <c r="J1235" s="11">
        <v>0</v>
      </c>
      <c r="K1235">
        <v>1</v>
      </c>
    </row>
    <row r="1236" spans="1:11" x14ac:dyDescent="0.25">
      <c r="A1236" s="9" t="s">
        <v>52</v>
      </c>
      <c r="B1236" s="9" t="s">
        <v>23</v>
      </c>
      <c r="C1236" s="10">
        <v>46015</v>
      </c>
      <c r="D1236" s="10">
        <v>46015</v>
      </c>
      <c r="E1236" s="9" t="s">
        <v>1711</v>
      </c>
      <c r="F1236" s="9" t="s">
        <v>32</v>
      </c>
      <c r="G1236" s="9" t="s">
        <v>339</v>
      </c>
      <c r="H1236" s="11">
        <v>1023.79</v>
      </c>
      <c r="I1236" s="11">
        <v>1023.79</v>
      </c>
      <c r="J1236" s="11">
        <v>0</v>
      </c>
      <c r="K1236">
        <v>1</v>
      </c>
    </row>
    <row r="1237" spans="1:11" x14ac:dyDescent="0.25">
      <c r="A1237" s="9" t="s">
        <v>52</v>
      </c>
      <c r="B1237" s="9" t="s">
        <v>23</v>
      </c>
      <c r="C1237" s="10">
        <v>46015</v>
      </c>
      <c r="D1237" s="10">
        <v>46015</v>
      </c>
      <c r="E1237" s="9" t="s">
        <v>1712</v>
      </c>
      <c r="F1237" s="9" t="s">
        <v>32</v>
      </c>
      <c r="G1237" s="9" t="s">
        <v>540</v>
      </c>
      <c r="H1237" s="11">
        <v>875.69</v>
      </c>
      <c r="I1237" s="11">
        <v>875.69</v>
      </c>
      <c r="J1237" s="11">
        <v>0</v>
      </c>
      <c r="K1237">
        <v>1</v>
      </c>
    </row>
    <row r="1238" spans="1:11" x14ac:dyDescent="0.25">
      <c r="A1238" s="9" t="s">
        <v>52</v>
      </c>
      <c r="B1238" s="9" t="s">
        <v>23</v>
      </c>
      <c r="C1238" s="10">
        <v>46015</v>
      </c>
      <c r="D1238" s="10">
        <v>46015</v>
      </c>
      <c r="E1238" s="9" t="s">
        <v>1713</v>
      </c>
      <c r="F1238" s="9" t="s">
        <v>32</v>
      </c>
      <c r="G1238" s="9" t="s">
        <v>1048</v>
      </c>
      <c r="H1238" s="11">
        <v>921.56</v>
      </c>
      <c r="I1238" s="11">
        <v>921.56</v>
      </c>
      <c r="J1238" s="11">
        <v>0</v>
      </c>
      <c r="K1238">
        <v>1</v>
      </c>
    </row>
    <row r="1239" spans="1:11" x14ac:dyDescent="0.25">
      <c r="A1239" s="9" t="s">
        <v>52</v>
      </c>
      <c r="B1239" s="9" t="s">
        <v>23</v>
      </c>
      <c r="C1239" s="10">
        <v>46015</v>
      </c>
      <c r="D1239" s="10">
        <v>46015</v>
      </c>
      <c r="E1239" s="9" t="s">
        <v>1714</v>
      </c>
      <c r="F1239" s="9" t="s">
        <v>32</v>
      </c>
      <c r="G1239" s="9" t="s">
        <v>637</v>
      </c>
      <c r="H1239" s="11">
        <v>1604.37</v>
      </c>
      <c r="I1239" s="11">
        <v>1604.37</v>
      </c>
      <c r="J1239" s="11">
        <v>0</v>
      </c>
      <c r="K1239">
        <v>1</v>
      </c>
    </row>
    <row r="1240" spans="1:11" x14ac:dyDescent="0.25">
      <c r="A1240" s="9" t="s">
        <v>52</v>
      </c>
      <c r="B1240" s="9" t="s">
        <v>23</v>
      </c>
      <c r="C1240" s="10">
        <v>46015</v>
      </c>
      <c r="D1240" s="10">
        <v>46015</v>
      </c>
      <c r="E1240" s="9" t="s">
        <v>1715</v>
      </c>
      <c r="F1240" s="9" t="s">
        <v>32</v>
      </c>
      <c r="G1240" s="9" t="s">
        <v>850</v>
      </c>
      <c r="H1240" s="11">
        <v>1832.85</v>
      </c>
      <c r="I1240" s="11">
        <v>1832.85</v>
      </c>
      <c r="J1240" s="11">
        <v>0</v>
      </c>
      <c r="K1240">
        <v>1</v>
      </c>
    </row>
    <row r="1241" spans="1:11" x14ac:dyDescent="0.25">
      <c r="A1241" s="9" t="s">
        <v>52</v>
      </c>
      <c r="B1241" s="9" t="s">
        <v>23</v>
      </c>
      <c r="C1241" s="10">
        <v>46015</v>
      </c>
      <c r="D1241" s="10">
        <v>46015</v>
      </c>
      <c r="E1241" s="9" t="s">
        <v>1716</v>
      </c>
      <c r="F1241" s="9" t="s">
        <v>32</v>
      </c>
      <c r="G1241" s="9" t="s">
        <v>1717</v>
      </c>
      <c r="H1241" s="11">
        <v>2440.73</v>
      </c>
      <c r="I1241" s="11">
        <v>2440.73</v>
      </c>
      <c r="J1241" s="11">
        <v>0</v>
      </c>
      <c r="K1241">
        <v>1</v>
      </c>
    </row>
    <row r="1242" spans="1:11" x14ac:dyDescent="0.25">
      <c r="A1242" s="9" t="s">
        <v>52</v>
      </c>
      <c r="B1242" s="9" t="s">
        <v>23</v>
      </c>
      <c r="C1242" s="10">
        <v>46015</v>
      </c>
      <c r="D1242" s="10">
        <v>46015</v>
      </c>
      <c r="E1242" s="9" t="s">
        <v>1718</v>
      </c>
      <c r="F1242" s="9" t="s">
        <v>32</v>
      </c>
      <c r="G1242" s="9" t="s">
        <v>1091</v>
      </c>
      <c r="H1242" s="11">
        <v>1201.45</v>
      </c>
      <c r="I1242" s="11">
        <v>1201.45</v>
      </c>
      <c r="J1242" s="11">
        <v>0</v>
      </c>
      <c r="K1242">
        <v>1</v>
      </c>
    </row>
    <row r="1243" spans="1:11" x14ac:dyDescent="0.25">
      <c r="A1243" s="9" t="s">
        <v>52</v>
      </c>
      <c r="B1243" s="9" t="s">
        <v>23</v>
      </c>
      <c r="C1243" s="10">
        <v>46015</v>
      </c>
      <c r="D1243" s="10">
        <v>46015</v>
      </c>
      <c r="E1243" s="9" t="s">
        <v>1719</v>
      </c>
      <c r="F1243" s="9" t="s">
        <v>32</v>
      </c>
      <c r="G1243" s="9" t="s">
        <v>228</v>
      </c>
      <c r="H1243" s="11">
        <v>9286.15</v>
      </c>
      <c r="I1243" s="11">
        <v>9286.15</v>
      </c>
      <c r="J1243" s="11">
        <v>0</v>
      </c>
      <c r="K1243">
        <v>1</v>
      </c>
    </row>
    <row r="1244" spans="1:11" x14ac:dyDescent="0.25">
      <c r="A1244" s="9" t="s">
        <v>52</v>
      </c>
      <c r="B1244" s="9" t="s">
        <v>23</v>
      </c>
      <c r="C1244" s="10">
        <v>46015</v>
      </c>
      <c r="D1244" s="10">
        <v>46015</v>
      </c>
      <c r="E1244" s="9" t="s">
        <v>1720</v>
      </c>
      <c r="F1244" s="9" t="s">
        <v>32</v>
      </c>
      <c r="G1244" s="9" t="s">
        <v>1239</v>
      </c>
      <c r="H1244" s="11">
        <v>4561.6099999999997</v>
      </c>
      <c r="I1244" s="11">
        <v>4561.6099999999997</v>
      </c>
      <c r="J1244" s="11">
        <v>0</v>
      </c>
      <c r="K1244">
        <v>1</v>
      </c>
    </row>
    <row r="1245" spans="1:11" x14ac:dyDescent="0.25">
      <c r="A1245" s="9" t="s">
        <v>52</v>
      </c>
      <c r="B1245" s="9" t="s">
        <v>23</v>
      </c>
      <c r="C1245" s="10">
        <v>46015</v>
      </c>
      <c r="D1245" s="10">
        <v>46015</v>
      </c>
      <c r="E1245" s="9" t="s">
        <v>1721</v>
      </c>
      <c r="F1245" s="9" t="s">
        <v>32</v>
      </c>
      <c r="G1245" s="9" t="s">
        <v>639</v>
      </c>
      <c r="H1245" s="11">
        <v>3612.64</v>
      </c>
      <c r="I1245" s="11">
        <v>3612.64</v>
      </c>
      <c r="J1245" s="11">
        <v>0</v>
      </c>
      <c r="K1245">
        <v>1</v>
      </c>
    </row>
    <row r="1246" spans="1:11" x14ac:dyDescent="0.25">
      <c r="A1246" s="9" t="s">
        <v>52</v>
      </c>
      <c r="B1246" s="9" t="s">
        <v>23</v>
      </c>
      <c r="C1246" s="10">
        <v>46015</v>
      </c>
      <c r="D1246" s="10">
        <v>46015</v>
      </c>
      <c r="E1246" s="9" t="s">
        <v>1722</v>
      </c>
      <c r="F1246" s="9" t="s">
        <v>32</v>
      </c>
      <c r="G1246" s="9" t="s">
        <v>428</v>
      </c>
      <c r="H1246" s="11">
        <v>3482.29</v>
      </c>
      <c r="I1246" s="11">
        <v>3482.29</v>
      </c>
      <c r="J1246" s="11">
        <v>0</v>
      </c>
      <c r="K1246">
        <v>1</v>
      </c>
    </row>
    <row r="1247" spans="1:11" x14ac:dyDescent="0.25">
      <c r="A1247" s="9" t="s">
        <v>52</v>
      </c>
      <c r="B1247" s="9" t="s">
        <v>23</v>
      </c>
      <c r="C1247" s="10">
        <v>46015</v>
      </c>
      <c r="D1247" s="10">
        <v>46015</v>
      </c>
      <c r="E1247" s="9" t="s">
        <v>1723</v>
      </c>
      <c r="F1247" s="9" t="s">
        <v>32</v>
      </c>
      <c r="G1247" s="9" t="s">
        <v>334</v>
      </c>
      <c r="H1247" s="11">
        <v>2941.8</v>
      </c>
      <c r="I1247" s="11">
        <v>2941.8</v>
      </c>
      <c r="J1247" s="11">
        <v>0</v>
      </c>
      <c r="K1247">
        <v>1</v>
      </c>
    </row>
    <row r="1248" spans="1:11" x14ac:dyDescent="0.25">
      <c r="A1248" s="9" t="s">
        <v>52</v>
      </c>
      <c r="B1248" s="9" t="s">
        <v>23</v>
      </c>
      <c r="C1248" s="10">
        <v>46015</v>
      </c>
      <c r="D1248" s="10">
        <v>46015</v>
      </c>
      <c r="E1248" s="9" t="s">
        <v>1724</v>
      </c>
      <c r="F1248" s="9" t="s">
        <v>32</v>
      </c>
      <c r="G1248" s="9" t="s">
        <v>393</v>
      </c>
      <c r="H1248" s="11">
        <v>1746.02</v>
      </c>
      <c r="I1248" s="11">
        <v>1746.02</v>
      </c>
      <c r="J1248" s="11">
        <v>0</v>
      </c>
      <c r="K1248">
        <v>1</v>
      </c>
    </row>
    <row r="1249" spans="1:11" x14ac:dyDescent="0.25">
      <c r="A1249" s="9" t="s">
        <v>52</v>
      </c>
      <c r="B1249" s="9" t="s">
        <v>23</v>
      </c>
      <c r="C1249" s="10">
        <v>46015</v>
      </c>
      <c r="D1249" s="10">
        <v>46015</v>
      </c>
      <c r="E1249" s="9" t="s">
        <v>1725</v>
      </c>
      <c r="F1249" s="9" t="s">
        <v>32</v>
      </c>
      <c r="G1249" s="9" t="s">
        <v>377</v>
      </c>
      <c r="H1249" s="11">
        <v>2893.47</v>
      </c>
      <c r="I1249" s="11">
        <v>2893.47</v>
      </c>
      <c r="J1249" s="11">
        <v>0</v>
      </c>
      <c r="K1249">
        <v>1</v>
      </c>
    </row>
    <row r="1250" spans="1:11" x14ac:dyDescent="0.25">
      <c r="A1250" s="9" t="s">
        <v>52</v>
      </c>
      <c r="B1250" s="9" t="s">
        <v>23</v>
      </c>
      <c r="C1250" s="10">
        <v>46015</v>
      </c>
      <c r="D1250" s="10">
        <v>46015</v>
      </c>
      <c r="E1250" s="9" t="s">
        <v>1726</v>
      </c>
      <c r="F1250" s="9" t="s">
        <v>32</v>
      </c>
      <c r="G1250" s="9" t="s">
        <v>309</v>
      </c>
      <c r="H1250" s="11">
        <v>5452.53</v>
      </c>
      <c r="I1250" s="11">
        <v>5452.53</v>
      </c>
      <c r="J1250" s="11">
        <v>0</v>
      </c>
      <c r="K1250">
        <v>1</v>
      </c>
    </row>
    <row r="1251" spans="1:11" x14ac:dyDescent="0.25">
      <c r="A1251" s="9" t="s">
        <v>52</v>
      </c>
      <c r="B1251" s="9" t="s">
        <v>23</v>
      </c>
      <c r="C1251" s="10">
        <v>46015</v>
      </c>
      <c r="D1251" s="10">
        <v>46015</v>
      </c>
      <c r="E1251" s="9" t="s">
        <v>1727</v>
      </c>
      <c r="F1251" s="9" t="s">
        <v>32</v>
      </c>
      <c r="G1251" s="9" t="s">
        <v>1418</v>
      </c>
      <c r="H1251" s="11">
        <v>2536.56</v>
      </c>
      <c r="I1251" s="11">
        <v>2536.56</v>
      </c>
      <c r="J1251" s="11">
        <v>0</v>
      </c>
      <c r="K1251">
        <v>1</v>
      </c>
    </row>
    <row r="1252" spans="1:11" x14ac:dyDescent="0.25">
      <c r="A1252" s="9" t="s">
        <v>52</v>
      </c>
      <c r="B1252" s="9" t="s">
        <v>23</v>
      </c>
      <c r="C1252" s="10">
        <v>46015</v>
      </c>
      <c r="D1252" s="10">
        <v>46015</v>
      </c>
      <c r="E1252" s="9" t="s">
        <v>1728</v>
      </c>
      <c r="F1252" s="9" t="s">
        <v>32</v>
      </c>
      <c r="G1252" s="9" t="s">
        <v>84</v>
      </c>
      <c r="H1252" s="11">
        <v>2176.2800000000002</v>
      </c>
      <c r="I1252" s="11">
        <v>2176.2800000000002</v>
      </c>
      <c r="J1252" s="11">
        <v>0</v>
      </c>
      <c r="K1252">
        <v>1</v>
      </c>
    </row>
    <row r="1253" spans="1:11" x14ac:dyDescent="0.25">
      <c r="A1253" s="9" t="s">
        <v>52</v>
      </c>
      <c r="B1253" s="9" t="s">
        <v>23</v>
      </c>
      <c r="C1253" s="10">
        <v>46015</v>
      </c>
      <c r="D1253" s="10">
        <v>46015</v>
      </c>
      <c r="E1253" s="9" t="s">
        <v>1729</v>
      </c>
      <c r="F1253" s="9" t="s">
        <v>32</v>
      </c>
      <c r="G1253" s="9" t="s">
        <v>198</v>
      </c>
      <c r="H1253" s="11">
        <v>1948.05</v>
      </c>
      <c r="I1253" s="11">
        <v>1948.05</v>
      </c>
      <c r="J1253" s="11">
        <v>0</v>
      </c>
      <c r="K1253">
        <v>1</v>
      </c>
    </row>
    <row r="1254" spans="1:11" x14ac:dyDescent="0.25">
      <c r="A1254" s="9" t="s">
        <v>52</v>
      </c>
      <c r="B1254" s="9" t="s">
        <v>23</v>
      </c>
      <c r="C1254" s="10">
        <v>46015</v>
      </c>
      <c r="D1254" s="10">
        <v>46015</v>
      </c>
      <c r="E1254" s="9" t="s">
        <v>1730</v>
      </c>
      <c r="F1254" s="9" t="s">
        <v>32</v>
      </c>
      <c r="G1254" s="9" t="s">
        <v>1400</v>
      </c>
      <c r="H1254" s="11">
        <v>1002.64</v>
      </c>
      <c r="I1254" s="11">
        <v>1002.64</v>
      </c>
      <c r="J1254" s="11">
        <v>0</v>
      </c>
      <c r="K1254">
        <v>1</v>
      </c>
    </row>
    <row r="1255" spans="1:11" x14ac:dyDescent="0.25">
      <c r="A1255" s="9" t="s">
        <v>52</v>
      </c>
      <c r="B1255" s="9" t="s">
        <v>23</v>
      </c>
      <c r="C1255" s="10">
        <v>46015</v>
      </c>
      <c r="D1255" s="10">
        <v>46015</v>
      </c>
      <c r="E1255" s="9" t="s">
        <v>1731</v>
      </c>
      <c r="F1255" s="9" t="s">
        <v>32</v>
      </c>
      <c r="G1255" s="9" t="s">
        <v>1732</v>
      </c>
      <c r="H1255" s="11">
        <v>1913.11</v>
      </c>
      <c r="I1255" s="11">
        <v>1913.11</v>
      </c>
      <c r="J1255" s="11">
        <v>0</v>
      </c>
      <c r="K1255">
        <v>1</v>
      </c>
    </row>
    <row r="1256" spans="1:11" x14ac:dyDescent="0.25">
      <c r="A1256" s="9" t="s">
        <v>52</v>
      </c>
      <c r="B1256" s="9" t="s">
        <v>23</v>
      </c>
      <c r="C1256" s="10">
        <v>46015</v>
      </c>
      <c r="D1256" s="10">
        <v>46015</v>
      </c>
      <c r="E1256" s="9" t="s">
        <v>1733</v>
      </c>
      <c r="F1256" s="9" t="s">
        <v>32</v>
      </c>
      <c r="G1256" s="9" t="s">
        <v>820</v>
      </c>
      <c r="H1256" s="11">
        <v>1896.32</v>
      </c>
      <c r="I1256" s="11">
        <v>1896.32</v>
      </c>
      <c r="J1256" s="11">
        <v>0</v>
      </c>
      <c r="K1256">
        <v>1</v>
      </c>
    </row>
    <row r="1257" spans="1:11" x14ac:dyDescent="0.25">
      <c r="A1257" s="9" t="s">
        <v>52</v>
      </c>
      <c r="B1257" s="9" t="s">
        <v>23</v>
      </c>
      <c r="C1257" s="10">
        <v>46015</v>
      </c>
      <c r="D1257" s="10">
        <v>46015</v>
      </c>
      <c r="E1257" s="9" t="s">
        <v>1734</v>
      </c>
      <c r="F1257" s="9" t="s">
        <v>32</v>
      </c>
      <c r="G1257" s="9" t="s">
        <v>485</v>
      </c>
      <c r="H1257" s="11">
        <v>2714.54</v>
      </c>
      <c r="I1257" s="11">
        <v>2714.54</v>
      </c>
      <c r="J1257" s="11">
        <v>0</v>
      </c>
      <c r="K1257">
        <v>1</v>
      </c>
    </row>
    <row r="1258" spans="1:11" x14ac:dyDescent="0.25">
      <c r="A1258" s="9" t="s">
        <v>52</v>
      </c>
      <c r="B1258" s="9" t="s">
        <v>23</v>
      </c>
      <c r="C1258" s="10">
        <v>46016</v>
      </c>
      <c r="D1258" s="10">
        <v>46016</v>
      </c>
      <c r="E1258" s="9" t="s">
        <v>1735</v>
      </c>
      <c r="F1258" s="9" t="s">
        <v>32</v>
      </c>
      <c r="G1258" s="9" t="s">
        <v>577</v>
      </c>
      <c r="H1258" s="11">
        <v>4739.12</v>
      </c>
      <c r="I1258" s="11">
        <v>4739.12</v>
      </c>
      <c r="J1258" s="11">
        <v>0</v>
      </c>
      <c r="K1258">
        <v>1</v>
      </c>
    </row>
    <row r="1259" spans="1:11" x14ac:dyDescent="0.25">
      <c r="A1259" s="9" t="s">
        <v>52</v>
      </c>
      <c r="B1259" s="9" t="s">
        <v>23</v>
      </c>
      <c r="C1259" s="10">
        <v>46016</v>
      </c>
      <c r="D1259" s="10">
        <v>46016</v>
      </c>
      <c r="E1259" s="9" t="s">
        <v>1736</v>
      </c>
      <c r="F1259" s="9" t="s">
        <v>32</v>
      </c>
      <c r="G1259" s="9" t="s">
        <v>35</v>
      </c>
      <c r="H1259" s="11">
        <v>215.44</v>
      </c>
      <c r="I1259" s="11">
        <v>215.44</v>
      </c>
      <c r="J1259" s="11">
        <v>0</v>
      </c>
      <c r="K1259">
        <v>1</v>
      </c>
    </row>
    <row r="1260" spans="1:11" x14ac:dyDescent="0.25">
      <c r="A1260" s="9" t="s">
        <v>52</v>
      </c>
      <c r="B1260" s="9" t="s">
        <v>23</v>
      </c>
      <c r="C1260" s="10">
        <v>46016</v>
      </c>
      <c r="D1260" s="10">
        <v>46016</v>
      </c>
      <c r="E1260" s="9" t="s">
        <v>1737</v>
      </c>
      <c r="F1260" s="9" t="s">
        <v>32</v>
      </c>
      <c r="G1260" s="9" t="s">
        <v>571</v>
      </c>
      <c r="H1260" s="11">
        <v>2929.42</v>
      </c>
      <c r="I1260" s="11">
        <v>2929.42</v>
      </c>
      <c r="J1260" s="11">
        <v>0</v>
      </c>
      <c r="K1260">
        <v>1</v>
      </c>
    </row>
    <row r="1261" spans="1:11" x14ac:dyDescent="0.25">
      <c r="A1261" s="9" t="s">
        <v>52</v>
      </c>
      <c r="B1261" s="9" t="s">
        <v>23</v>
      </c>
      <c r="C1261" s="10">
        <v>46016</v>
      </c>
      <c r="D1261" s="10">
        <v>46016</v>
      </c>
      <c r="E1261" s="9" t="s">
        <v>1738</v>
      </c>
      <c r="F1261" s="9" t="s">
        <v>32</v>
      </c>
      <c r="G1261" s="9" t="s">
        <v>1082</v>
      </c>
      <c r="H1261" s="11">
        <v>7081.64</v>
      </c>
      <c r="I1261" s="11">
        <v>7081.64</v>
      </c>
      <c r="J1261" s="11">
        <v>0</v>
      </c>
      <c r="K1261">
        <v>1</v>
      </c>
    </row>
    <row r="1262" spans="1:11" x14ac:dyDescent="0.25">
      <c r="A1262" s="9" t="s">
        <v>52</v>
      </c>
      <c r="B1262" s="9" t="s">
        <v>23</v>
      </c>
      <c r="C1262" s="10">
        <v>46016</v>
      </c>
      <c r="D1262" s="10">
        <v>46016</v>
      </c>
      <c r="E1262" s="9" t="s">
        <v>1739</v>
      </c>
      <c r="F1262" s="9" t="s">
        <v>32</v>
      </c>
      <c r="G1262" s="9" t="s">
        <v>1614</v>
      </c>
      <c r="H1262" s="11">
        <v>876.84</v>
      </c>
      <c r="I1262" s="11">
        <v>876.84</v>
      </c>
      <c r="J1262" s="11">
        <v>0</v>
      </c>
      <c r="K1262">
        <v>1</v>
      </c>
    </row>
    <row r="1263" spans="1:11" x14ac:dyDescent="0.25">
      <c r="A1263" s="9" t="s">
        <v>52</v>
      </c>
      <c r="B1263" s="9" t="s">
        <v>23</v>
      </c>
      <c r="C1263" s="10">
        <v>46016</v>
      </c>
      <c r="D1263" s="10">
        <v>46016</v>
      </c>
      <c r="E1263" s="9" t="s">
        <v>1740</v>
      </c>
      <c r="F1263" s="9" t="s">
        <v>32</v>
      </c>
      <c r="G1263" s="9" t="s">
        <v>703</v>
      </c>
      <c r="H1263" s="11">
        <v>599.04</v>
      </c>
      <c r="I1263" s="11">
        <v>599.04</v>
      </c>
      <c r="J1263" s="11">
        <v>0</v>
      </c>
      <c r="K1263">
        <v>1</v>
      </c>
    </row>
    <row r="1264" spans="1:11" x14ac:dyDescent="0.25">
      <c r="A1264" s="9" t="s">
        <v>52</v>
      </c>
      <c r="B1264" s="9" t="s">
        <v>23</v>
      </c>
      <c r="C1264" s="10">
        <v>46016</v>
      </c>
      <c r="D1264" s="10">
        <v>46016</v>
      </c>
      <c r="E1264" s="9" t="s">
        <v>1741</v>
      </c>
      <c r="F1264" s="9" t="s">
        <v>32</v>
      </c>
      <c r="G1264" s="9" t="s">
        <v>78</v>
      </c>
      <c r="H1264" s="11">
        <v>2236.12</v>
      </c>
      <c r="I1264" s="11">
        <v>2236.12</v>
      </c>
      <c r="J1264" s="11">
        <v>0</v>
      </c>
      <c r="K1264">
        <v>1</v>
      </c>
    </row>
    <row r="1265" spans="1:11" x14ac:dyDescent="0.25">
      <c r="A1265" s="9" t="s">
        <v>52</v>
      </c>
      <c r="B1265" s="9" t="s">
        <v>23</v>
      </c>
      <c r="C1265" s="10">
        <v>46016</v>
      </c>
      <c r="D1265" s="10">
        <v>46016</v>
      </c>
      <c r="E1265" s="9" t="s">
        <v>1742</v>
      </c>
      <c r="F1265" s="9" t="s">
        <v>32</v>
      </c>
      <c r="G1265" s="9" t="s">
        <v>1743</v>
      </c>
      <c r="H1265" s="11">
        <v>1036.1300000000001</v>
      </c>
      <c r="I1265" s="11">
        <v>1036.1300000000001</v>
      </c>
      <c r="J1265" s="11">
        <v>0</v>
      </c>
      <c r="K1265">
        <v>1</v>
      </c>
    </row>
    <row r="1266" spans="1:11" x14ac:dyDescent="0.25">
      <c r="A1266" s="9" t="s">
        <v>52</v>
      </c>
      <c r="B1266" s="9" t="s">
        <v>23</v>
      </c>
      <c r="C1266" s="10">
        <v>46016</v>
      </c>
      <c r="D1266" s="10">
        <v>46016</v>
      </c>
      <c r="E1266" s="9" t="s">
        <v>1744</v>
      </c>
      <c r="F1266" s="9" t="s">
        <v>32</v>
      </c>
      <c r="G1266" s="9" t="s">
        <v>213</v>
      </c>
      <c r="H1266" s="11">
        <v>1896.95</v>
      </c>
      <c r="I1266" s="11">
        <v>1896.95</v>
      </c>
      <c r="J1266" s="11">
        <v>0</v>
      </c>
      <c r="K1266">
        <v>1</v>
      </c>
    </row>
    <row r="1267" spans="1:11" x14ac:dyDescent="0.25">
      <c r="A1267" s="9" t="s">
        <v>52</v>
      </c>
      <c r="B1267" s="9" t="s">
        <v>23</v>
      </c>
      <c r="C1267" s="10">
        <v>46016</v>
      </c>
      <c r="D1267" s="10">
        <v>46016</v>
      </c>
      <c r="E1267" s="9" t="s">
        <v>1745</v>
      </c>
      <c r="F1267" s="9" t="s">
        <v>32</v>
      </c>
      <c r="G1267" s="9" t="s">
        <v>741</v>
      </c>
      <c r="H1267" s="11">
        <v>3109.25</v>
      </c>
      <c r="I1267" s="11">
        <v>3109.25</v>
      </c>
      <c r="J1267" s="11">
        <v>0</v>
      </c>
      <c r="K1267">
        <v>1</v>
      </c>
    </row>
    <row r="1268" spans="1:11" x14ac:dyDescent="0.25">
      <c r="A1268" s="9" t="s">
        <v>52</v>
      </c>
      <c r="B1268" s="9" t="s">
        <v>23</v>
      </c>
      <c r="C1268" s="10">
        <v>46016</v>
      </c>
      <c r="D1268" s="10">
        <v>46016</v>
      </c>
      <c r="E1268" s="9" t="s">
        <v>1746</v>
      </c>
      <c r="F1268" s="9" t="s">
        <v>32</v>
      </c>
      <c r="G1268" s="9" t="s">
        <v>237</v>
      </c>
      <c r="H1268" s="11">
        <v>5912.03</v>
      </c>
      <c r="I1268" s="11">
        <v>5912.03</v>
      </c>
      <c r="J1268" s="11">
        <v>0</v>
      </c>
      <c r="K1268">
        <v>1</v>
      </c>
    </row>
    <row r="1269" spans="1:11" x14ac:dyDescent="0.25">
      <c r="A1269" s="9" t="s">
        <v>52</v>
      </c>
      <c r="B1269" s="9" t="s">
        <v>23</v>
      </c>
      <c r="C1269" s="10">
        <v>46016</v>
      </c>
      <c r="D1269" s="10">
        <v>46016</v>
      </c>
      <c r="E1269" s="9" t="s">
        <v>1747</v>
      </c>
      <c r="F1269" s="9" t="s">
        <v>32</v>
      </c>
      <c r="G1269" s="9" t="s">
        <v>1743</v>
      </c>
      <c r="H1269" s="11">
        <v>1285.67</v>
      </c>
      <c r="I1269" s="11">
        <v>1285.67</v>
      </c>
      <c r="J1269" s="11">
        <v>0</v>
      </c>
      <c r="K1269">
        <v>1</v>
      </c>
    </row>
    <row r="1270" spans="1:11" x14ac:dyDescent="0.25">
      <c r="A1270" s="9" t="s">
        <v>52</v>
      </c>
      <c r="B1270" s="9" t="s">
        <v>23</v>
      </c>
      <c r="C1270" s="10">
        <v>46016</v>
      </c>
      <c r="D1270" s="10">
        <v>46016</v>
      </c>
      <c r="E1270" s="9" t="s">
        <v>1748</v>
      </c>
      <c r="F1270" s="9" t="s">
        <v>32</v>
      </c>
      <c r="G1270" s="9" t="s">
        <v>452</v>
      </c>
      <c r="H1270" s="11">
        <v>469.34</v>
      </c>
      <c r="I1270" s="11">
        <v>469.34</v>
      </c>
      <c r="J1270" s="11">
        <v>0</v>
      </c>
      <c r="K1270">
        <v>1</v>
      </c>
    </row>
    <row r="1271" spans="1:11" x14ac:dyDescent="0.25">
      <c r="A1271" s="9" t="s">
        <v>52</v>
      </c>
      <c r="B1271" s="9" t="s">
        <v>23</v>
      </c>
      <c r="C1271" s="10">
        <v>46016</v>
      </c>
      <c r="D1271" s="10">
        <v>46016</v>
      </c>
      <c r="E1271" s="9" t="s">
        <v>1749</v>
      </c>
      <c r="F1271" s="9" t="s">
        <v>32</v>
      </c>
      <c r="G1271" s="9" t="s">
        <v>814</v>
      </c>
      <c r="H1271" s="11">
        <v>1450.4</v>
      </c>
      <c r="I1271" s="11">
        <v>1450.4</v>
      </c>
      <c r="J1271" s="11">
        <v>0</v>
      </c>
      <c r="K1271">
        <v>1</v>
      </c>
    </row>
    <row r="1272" spans="1:11" x14ac:dyDescent="0.25">
      <c r="A1272" s="9" t="s">
        <v>52</v>
      </c>
      <c r="B1272" s="9" t="s">
        <v>23</v>
      </c>
      <c r="C1272" s="10">
        <v>46016</v>
      </c>
      <c r="D1272" s="10">
        <v>46016</v>
      </c>
      <c r="E1272" s="9" t="s">
        <v>1750</v>
      </c>
      <c r="F1272" s="9" t="s">
        <v>32</v>
      </c>
      <c r="G1272" s="9" t="s">
        <v>312</v>
      </c>
      <c r="H1272" s="11">
        <v>8911.2099999999991</v>
      </c>
      <c r="I1272" s="11">
        <v>8911.2099999999991</v>
      </c>
      <c r="J1272" s="11">
        <v>0</v>
      </c>
      <c r="K1272">
        <v>1</v>
      </c>
    </row>
    <row r="1273" spans="1:11" x14ac:dyDescent="0.25">
      <c r="A1273" s="9" t="s">
        <v>52</v>
      </c>
      <c r="B1273" s="9" t="s">
        <v>23</v>
      </c>
      <c r="C1273" s="10">
        <v>46016</v>
      </c>
      <c r="D1273" s="10">
        <v>46016</v>
      </c>
      <c r="E1273" s="9" t="s">
        <v>1751</v>
      </c>
      <c r="F1273" s="9" t="s">
        <v>32</v>
      </c>
      <c r="G1273" s="9" t="s">
        <v>264</v>
      </c>
      <c r="H1273" s="11">
        <v>3802.6</v>
      </c>
      <c r="I1273" s="11">
        <v>3802.6</v>
      </c>
      <c r="J1273" s="11">
        <v>0</v>
      </c>
      <c r="K1273">
        <v>1</v>
      </c>
    </row>
    <row r="1274" spans="1:11" x14ac:dyDescent="0.25">
      <c r="A1274" s="9" t="s">
        <v>52</v>
      </c>
      <c r="B1274" s="9" t="s">
        <v>23</v>
      </c>
      <c r="C1274" s="10">
        <v>46016</v>
      </c>
      <c r="D1274" s="10">
        <v>46016</v>
      </c>
      <c r="E1274" s="9" t="s">
        <v>1752</v>
      </c>
      <c r="F1274" s="9" t="s">
        <v>32</v>
      </c>
      <c r="G1274" s="9" t="s">
        <v>270</v>
      </c>
      <c r="H1274" s="11">
        <v>14109.43</v>
      </c>
      <c r="I1274" s="11">
        <v>14109.43</v>
      </c>
      <c r="J1274" s="11">
        <v>0</v>
      </c>
      <c r="K1274">
        <v>1</v>
      </c>
    </row>
    <row r="1275" spans="1:11" x14ac:dyDescent="0.25">
      <c r="A1275" s="9" t="s">
        <v>52</v>
      </c>
      <c r="B1275" s="9" t="s">
        <v>23</v>
      </c>
      <c r="C1275" s="10">
        <v>46016</v>
      </c>
      <c r="D1275" s="10">
        <v>46016</v>
      </c>
      <c r="E1275" s="9" t="s">
        <v>1753</v>
      </c>
      <c r="F1275" s="9" t="s">
        <v>32</v>
      </c>
      <c r="G1275" s="9" t="s">
        <v>54</v>
      </c>
      <c r="H1275" s="11">
        <v>7532.01</v>
      </c>
      <c r="I1275" s="11">
        <v>7532.01</v>
      </c>
      <c r="J1275" s="11">
        <v>0</v>
      </c>
      <c r="K1275">
        <v>1</v>
      </c>
    </row>
    <row r="1276" spans="1:11" x14ac:dyDescent="0.25">
      <c r="A1276" s="9" t="s">
        <v>52</v>
      </c>
      <c r="B1276" s="9" t="s">
        <v>23</v>
      </c>
      <c r="C1276" s="10">
        <v>46016</v>
      </c>
      <c r="D1276" s="10">
        <v>46016</v>
      </c>
      <c r="E1276" s="9" t="s">
        <v>1754</v>
      </c>
      <c r="F1276" s="9" t="s">
        <v>32</v>
      </c>
      <c r="G1276" s="9" t="s">
        <v>362</v>
      </c>
      <c r="H1276" s="11">
        <v>920.3</v>
      </c>
      <c r="I1276" s="11">
        <v>920.3</v>
      </c>
      <c r="J1276" s="11">
        <v>0</v>
      </c>
      <c r="K1276">
        <v>1</v>
      </c>
    </row>
    <row r="1277" spans="1:11" x14ac:dyDescent="0.25">
      <c r="A1277" s="9" t="s">
        <v>52</v>
      </c>
      <c r="B1277" s="9" t="s">
        <v>23</v>
      </c>
      <c r="C1277" s="10">
        <v>46016</v>
      </c>
      <c r="D1277" s="10">
        <v>46016</v>
      </c>
      <c r="E1277" s="9" t="s">
        <v>1755</v>
      </c>
      <c r="F1277" s="9" t="s">
        <v>32</v>
      </c>
      <c r="G1277" s="9" t="s">
        <v>391</v>
      </c>
      <c r="H1277" s="11">
        <v>1610.74</v>
      </c>
      <c r="I1277" s="11">
        <v>1610.74</v>
      </c>
      <c r="J1277" s="11">
        <v>0</v>
      </c>
      <c r="K1277">
        <v>1</v>
      </c>
    </row>
    <row r="1278" spans="1:11" x14ac:dyDescent="0.25">
      <c r="A1278" s="9" t="s">
        <v>52</v>
      </c>
      <c r="B1278" s="9" t="s">
        <v>23</v>
      </c>
      <c r="C1278" s="10">
        <v>46016</v>
      </c>
      <c r="D1278" s="10">
        <v>46016</v>
      </c>
      <c r="E1278" s="9" t="s">
        <v>1756</v>
      </c>
      <c r="F1278" s="9" t="s">
        <v>32</v>
      </c>
      <c r="G1278" s="9" t="s">
        <v>1757</v>
      </c>
      <c r="H1278" s="11">
        <v>5152.4799999999996</v>
      </c>
      <c r="I1278" s="11">
        <v>5152.4799999999996</v>
      </c>
      <c r="J1278" s="11">
        <v>0</v>
      </c>
      <c r="K1278">
        <v>1</v>
      </c>
    </row>
    <row r="1279" spans="1:11" x14ac:dyDescent="0.25">
      <c r="A1279" s="9" t="s">
        <v>52</v>
      </c>
      <c r="B1279" s="9" t="s">
        <v>23</v>
      </c>
      <c r="C1279" s="10">
        <v>46016</v>
      </c>
      <c r="D1279" s="10">
        <v>46016</v>
      </c>
      <c r="E1279" s="9" t="s">
        <v>1758</v>
      </c>
      <c r="F1279" s="9" t="s">
        <v>32</v>
      </c>
      <c r="G1279" s="9" t="s">
        <v>243</v>
      </c>
      <c r="H1279" s="11">
        <v>20278.39</v>
      </c>
      <c r="I1279" s="11">
        <v>20278.39</v>
      </c>
      <c r="J1279" s="11">
        <v>0</v>
      </c>
      <c r="K1279">
        <v>1</v>
      </c>
    </row>
    <row r="1280" spans="1:11" x14ac:dyDescent="0.25">
      <c r="A1280" s="9" t="s">
        <v>52</v>
      </c>
      <c r="B1280" s="9" t="s">
        <v>23</v>
      </c>
      <c r="C1280" s="10">
        <v>46016</v>
      </c>
      <c r="D1280" s="10">
        <v>46016</v>
      </c>
      <c r="E1280" s="9" t="s">
        <v>1759</v>
      </c>
      <c r="F1280" s="9" t="s">
        <v>32</v>
      </c>
      <c r="G1280" s="9" t="s">
        <v>226</v>
      </c>
      <c r="H1280" s="11">
        <v>7044.56</v>
      </c>
      <c r="I1280" s="11">
        <v>7044.56</v>
      </c>
      <c r="J1280" s="11">
        <v>0</v>
      </c>
      <c r="K1280">
        <v>1</v>
      </c>
    </row>
    <row r="1281" spans="1:11" x14ac:dyDescent="0.25">
      <c r="A1281" s="9" t="s">
        <v>52</v>
      </c>
      <c r="B1281" s="9" t="s">
        <v>23</v>
      </c>
      <c r="C1281" s="10">
        <v>46016</v>
      </c>
      <c r="D1281" s="10">
        <v>46016</v>
      </c>
      <c r="E1281" s="9" t="s">
        <v>1760</v>
      </c>
      <c r="F1281" s="9" t="s">
        <v>32</v>
      </c>
      <c r="G1281" s="9" t="s">
        <v>281</v>
      </c>
      <c r="H1281" s="11">
        <v>4659.3900000000003</v>
      </c>
      <c r="I1281" s="11">
        <v>4659.3900000000003</v>
      </c>
      <c r="J1281" s="11">
        <v>0</v>
      </c>
      <c r="K1281">
        <v>1</v>
      </c>
    </row>
    <row r="1282" spans="1:11" x14ac:dyDescent="0.25">
      <c r="A1282" s="9" t="s">
        <v>52</v>
      </c>
      <c r="B1282" s="9" t="s">
        <v>23</v>
      </c>
      <c r="C1282" s="10">
        <v>46016</v>
      </c>
      <c r="D1282" s="10">
        <v>46016</v>
      </c>
      <c r="E1282" s="9" t="s">
        <v>1761</v>
      </c>
      <c r="F1282" s="9" t="s">
        <v>32</v>
      </c>
      <c r="G1282" s="9" t="s">
        <v>133</v>
      </c>
      <c r="H1282" s="11">
        <v>5089.95</v>
      </c>
      <c r="I1282" s="11">
        <v>5089.95</v>
      </c>
      <c r="J1282" s="11">
        <v>0</v>
      </c>
      <c r="K1282">
        <v>1</v>
      </c>
    </row>
    <row r="1283" spans="1:11" x14ac:dyDescent="0.25">
      <c r="A1283" s="9" t="s">
        <v>52</v>
      </c>
      <c r="B1283" s="9" t="s">
        <v>23</v>
      </c>
      <c r="C1283" s="10">
        <v>46016</v>
      </c>
      <c r="D1283" s="10">
        <v>46016</v>
      </c>
      <c r="E1283" s="9" t="s">
        <v>1762</v>
      </c>
      <c r="F1283" s="9" t="s">
        <v>32</v>
      </c>
      <c r="G1283" s="9" t="s">
        <v>66</v>
      </c>
      <c r="H1283" s="11">
        <v>3933.52</v>
      </c>
      <c r="I1283" s="11">
        <v>3933.52</v>
      </c>
      <c r="J1283" s="11">
        <v>0</v>
      </c>
      <c r="K1283">
        <v>1</v>
      </c>
    </row>
    <row r="1284" spans="1:11" x14ac:dyDescent="0.25">
      <c r="A1284" s="9" t="s">
        <v>52</v>
      </c>
      <c r="B1284" s="9" t="s">
        <v>23</v>
      </c>
      <c r="C1284" s="10">
        <v>46016</v>
      </c>
      <c r="D1284" s="10">
        <v>46016</v>
      </c>
      <c r="E1284" s="9" t="s">
        <v>1763</v>
      </c>
      <c r="F1284" s="9" t="s">
        <v>32</v>
      </c>
      <c r="G1284" s="9" t="s">
        <v>226</v>
      </c>
      <c r="H1284" s="11">
        <v>14242.44</v>
      </c>
      <c r="I1284" s="11">
        <v>14242.44</v>
      </c>
      <c r="J1284" s="11">
        <v>0</v>
      </c>
      <c r="K1284">
        <v>1</v>
      </c>
    </row>
    <row r="1285" spans="1:11" x14ac:dyDescent="0.25">
      <c r="A1285" s="9" t="s">
        <v>52</v>
      </c>
      <c r="B1285" s="9" t="s">
        <v>23</v>
      </c>
      <c r="C1285" s="10">
        <v>46016</v>
      </c>
      <c r="D1285" s="10">
        <v>46016</v>
      </c>
      <c r="E1285" s="9" t="s">
        <v>1764</v>
      </c>
      <c r="F1285" s="9" t="s">
        <v>32</v>
      </c>
      <c r="G1285" s="9" t="s">
        <v>256</v>
      </c>
      <c r="H1285" s="11">
        <v>3463.43</v>
      </c>
      <c r="I1285" s="11">
        <v>3463.43</v>
      </c>
      <c r="J1285" s="11">
        <v>0</v>
      </c>
      <c r="K1285">
        <v>1</v>
      </c>
    </row>
    <row r="1286" spans="1:11" x14ac:dyDescent="0.25">
      <c r="A1286" s="9" t="s">
        <v>52</v>
      </c>
      <c r="B1286" s="9" t="s">
        <v>23</v>
      </c>
      <c r="C1286" s="10">
        <v>46016</v>
      </c>
      <c r="D1286" s="10">
        <v>46016</v>
      </c>
      <c r="E1286" s="9" t="s">
        <v>1765</v>
      </c>
      <c r="F1286" s="9" t="s">
        <v>32</v>
      </c>
      <c r="G1286" s="9" t="s">
        <v>264</v>
      </c>
      <c r="H1286" s="11">
        <v>11714.47</v>
      </c>
      <c r="I1286" s="11">
        <v>11714.47</v>
      </c>
      <c r="J1286" s="11">
        <v>0</v>
      </c>
      <c r="K1286">
        <v>1</v>
      </c>
    </row>
    <row r="1287" spans="1:11" x14ac:dyDescent="0.25">
      <c r="A1287" s="9" t="s">
        <v>52</v>
      </c>
      <c r="B1287" s="9" t="s">
        <v>23</v>
      </c>
      <c r="C1287" s="10">
        <v>46016</v>
      </c>
      <c r="D1287" s="10">
        <v>46016</v>
      </c>
      <c r="E1287" s="9" t="s">
        <v>1766</v>
      </c>
      <c r="F1287" s="9" t="s">
        <v>32</v>
      </c>
      <c r="G1287" s="9" t="s">
        <v>102</v>
      </c>
      <c r="H1287" s="11">
        <v>4434.9399999999996</v>
      </c>
      <c r="I1287" s="11">
        <v>4434.9399999999996</v>
      </c>
      <c r="J1287" s="11">
        <v>0</v>
      </c>
      <c r="K1287">
        <v>1</v>
      </c>
    </row>
    <row r="1288" spans="1:11" x14ac:dyDescent="0.25">
      <c r="A1288" s="9" t="s">
        <v>52</v>
      </c>
      <c r="B1288" s="9" t="s">
        <v>23</v>
      </c>
      <c r="C1288" s="10">
        <v>46016</v>
      </c>
      <c r="D1288" s="10">
        <v>46016</v>
      </c>
      <c r="E1288" s="9" t="s">
        <v>1767</v>
      </c>
      <c r="F1288" s="9" t="s">
        <v>32</v>
      </c>
      <c r="G1288" s="9" t="s">
        <v>133</v>
      </c>
      <c r="H1288" s="11">
        <v>3881</v>
      </c>
      <c r="I1288" s="11">
        <v>3881</v>
      </c>
      <c r="J1288" s="11">
        <v>0</v>
      </c>
      <c r="K1288">
        <v>1</v>
      </c>
    </row>
    <row r="1289" spans="1:11" x14ac:dyDescent="0.25">
      <c r="A1289" s="9" t="s">
        <v>52</v>
      </c>
      <c r="B1289" s="9" t="s">
        <v>23</v>
      </c>
      <c r="C1289" s="10">
        <v>46016</v>
      </c>
      <c r="D1289" s="10">
        <v>46016</v>
      </c>
      <c r="E1289" s="9" t="s">
        <v>1768</v>
      </c>
      <c r="F1289" s="9" t="s">
        <v>32</v>
      </c>
      <c r="G1289" s="9" t="s">
        <v>268</v>
      </c>
      <c r="H1289" s="11">
        <v>15137.49</v>
      </c>
      <c r="I1289" s="11">
        <v>15137.49</v>
      </c>
      <c r="J1289" s="11">
        <v>0</v>
      </c>
      <c r="K1289">
        <v>1</v>
      </c>
    </row>
    <row r="1290" spans="1:11" x14ac:dyDescent="0.25">
      <c r="A1290" s="9" t="s">
        <v>52</v>
      </c>
      <c r="B1290" s="9" t="s">
        <v>23</v>
      </c>
      <c r="C1290" s="10">
        <v>46016</v>
      </c>
      <c r="D1290" s="10">
        <v>46016</v>
      </c>
      <c r="E1290" s="9" t="s">
        <v>1769</v>
      </c>
      <c r="F1290" s="9" t="s">
        <v>32</v>
      </c>
      <c r="G1290" s="9" t="s">
        <v>388</v>
      </c>
      <c r="H1290" s="11">
        <v>4336.46</v>
      </c>
      <c r="I1290" s="11">
        <v>4336.46</v>
      </c>
      <c r="J1290" s="11">
        <v>0</v>
      </c>
      <c r="K1290">
        <v>1</v>
      </c>
    </row>
    <row r="1291" spans="1:11" x14ac:dyDescent="0.25">
      <c r="A1291" s="9" t="s">
        <v>52</v>
      </c>
      <c r="B1291" s="9" t="s">
        <v>23</v>
      </c>
      <c r="C1291" s="10">
        <v>46017</v>
      </c>
      <c r="D1291" s="10">
        <v>46017</v>
      </c>
      <c r="E1291" s="9" t="s">
        <v>1770</v>
      </c>
      <c r="F1291" s="9" t="s">
        <v>32</v>
      </c>
      <c r="G1291" s="9" t="s">
        <v>393</v>
      </c>
      <c r="H1291" s="11">
        <v>2640.29</v>
      </c>
      <c r="I1291" s="11">
        <v>2640.29</v>
      </c>
      <c r="J1291" s="11">
        <v>0</v>
      </c>
      <c r="K1291">
        <v>1</v>
      </c>
    </row>
    <row r="1292" spans="1:11" x14ac:dyDescent="0.25">
      <c r="A1292" s="9" t="s">
        <v>52</v>
      </c>
      <c r="B1292" s="9" t="s">
        <v>23</v>
      </c>
      <c r="C1292" s="10">
        <v>46017</v>
      </c>
      <c r="D1292" s="10">
        <v>46017</v>
      </c>
      <c r="E1292" s="9" t="s">
        <v>1771</v>
      </c>
      <c r="F1292" s="9" t="s">
        <v>32</v>
      </c>
      <c r="G1292" s="9" t="s">
        <v>379</v>
      </c>
      <c r="H1292" s="11">
        <v>3047.54</v>
      </c>
      <c r="I1292" s="11">
        <v>3047.54</v>
      </c>
      <c r="J1292" s="11">
        <v>0</v>
      </c>
      <c r="K1292">
        <v>1</v>
      </c>
    </row>
    <row r="1293" spans="1:11" x14ac:dyDescent="0.25">
      <c r="A1293" s="9" t="s">
        <v>52</v>
      </c>
      <c r="B1293" s="9" t="s">
        <v>23</v>
      </c>
      <c r="C1293" s="10">
        <v>46017</v>
      </c>
      <c r="D1293" s="10">
        <v>46017</v>
      </c>
      <c r="E1293" s="9" t="s">
        <v>1772</v>
      </c>
      <c r="F1293" s="9" t="s">
        <v>32</v>
      </c>
      <c r="G1293" s="9" t="s">
        <v>1400</v>
      </c>
      <c r="H1293" s="11">
        <v>2867.41</v>
      </c>
      <c r="I1293" s="11">
        <v>2867.41</v>
      </c>
      <c r="J1293" s="11">
        <v>0</v>
      </c>
      <c r="K1293">
        <v>1</v>
      </c>
    </row>
    <row r="1294" spans="1:11" x14ac:dyDescent="0.25">
      <c r="A1294" s="9" t="s">
        <v>52</v>
      </c>
      <c r="B1294" s="9" t="s">
        <v>23</v>
      </c>
      <c r="C1294" s="10">
        <v>46017</v>
      </c>
      <c r="D1294" s="10">
        <v>46017</v>
      </c>
      <c r="E1294" s="9" t="s">
        <v>1773</v>
      </c>
      <c r="F1294" s="9" t="s">
        <v>32</v>
      </c>
      <c r="G1294" s="9" t="s">
        <v>382</v>
      </c>
      <c r="H1294" s="11">
        <v>3050.14</v>
      </c>
      <c r="I1294" s="11">
        <v>3050.14</v>
      </c>
      <c r="J1294" s="11">
        <v>0</v>
      </c>
      <c r="K1294">
        <v>1</v>
      </c>
    </row>
    <row r="1295" spans="1:11" x14ac:dyDescent="0.25">
      <c r="A1295" s="9" t="s">
        <v>52</v>
      </c>
      <c r="B1295" s="9" t="s">
        <v>23</v>
      </c>
      <c r="C1295" s="10">
        <v>46017</v>
      </c>
      <c r="D1295" s="10">
        <v>46017</v>
      </c>
      <c r="E1295" s="9" t="s">
        <v>1774</v>
      </c>
      <c r="F1295" s="9" t="s">
        <v>32</v>
      </c>
      <c r="G1295" s="9" t="s">
        <v>1775</v>
      </c>
      <c r="H1295" s="11">
        <v>1204.48</v>
      </c>
      <c r="I1295" s="11">
        <v>1204.48</v>
      </c>
      <c r="J1295" s="11">
        <v>0</v>
      </c>
      <c r="K1295">
        <v>1</v>
      </c>
    </row>
    <row r="1296" spans="1:11" x14ac:dyDescent="0.25">
      <c r="A1296" s="9" t="s">
        <v>52</v>
      </c>
      <c r="B1296" s="9" t="s">
        <v>23</v>
      </c>
      <c r="C1296" s="10">
        <v>46017</v>
      </c>
      <c r="D1296" s="10">
        <v>46017</v>
      </c>
      <c r="E1296" s="9" t="s">
        <v>1776</v>
      </c>
      <c r="F1296" s="9" t="s">
        <v>32</v>
      </c>
      <c r="G1296" s="9" t="s">
        <v>825</v>
      </c>
      <c r="H1296" s="11">
        <v>2478.61</v>
      </c>
      <c r="I1296" s="11">
        <v>2478.61</v>
      </c>
      <c r="J1296" s="11">
        <v>0</v>
      </c>
      <c r="K1296">
        <v>1</v>
      </c>
    </row>
    <row r="1297" spans="1:11" x14ac:dyDescent="0.25">
      <c r="A1297" s="9" t="s">
        <v>52</v>
      </c>
      <c r="B1297" s="9" t="s">
        <v>23</v>
      </c>
      <c r="C1297" s="10">
        <v>46017</v>
      </c>
      <c r="D1297" s="10">
        <v>46017</v>
      </c>
      <c r="E1297" s="9" t="s">
        <v>1777</v>
      </c>
      <c r="F1297" s="9" t="s">
        <v>32</v>
      </c>
      <c r="G1297" s="9" t="s">
        <v>628</v>
      </c>
      <c r="H1297" s="11">
        <v>4970.2</v>
      </c>
      <c r="I1297" s="11">
        <v>4970.2</v>
      </c>
      <c r="J1297" s="11">
        <v>0</v>
      </c>
      <c r="K1297">
        <v>1</v>
      </c>
    </row>
    <row r="1298" spans="1:11" x14ac:dyDescent="0.25">
      <c r="A1298" s="9" t="s">
        <v>52</v>
      </c>
      <c r="B1298" s="9" t="s">
        <v>23</v>
      </c>
      <c r="C1298" s="10">
        <v>46017</v>
      </c>
      <c r="D1298" s="10">
        <v>46017</v>
      </c>
      <c r="E1298" s="9" t="s">
        <v>1778</v>
      </c>
      <c r="F1298" s="9" t="s">
        <v>32</v>
      </c>
      <c r="G1298" s="9" t="s">
        <v>106</v>
      </c>
      <c r="H1298" s="11">
        <v>2399.02</v>
      </c>
      <c r="I1298" s="11">
        <v>2399.02</v>
      </c>
      <c r="J1298" s="11">
        <v>0</v>
      </c>
      <c r="K1298">
        <v>1</v>
      </c>
    </row>
    <row r="1299" spans="1:11" x14ac:dyDescent="0.25">
      <c r="A1299" s="9" t="s">
        <v>52</v>
      </c>
      <c r="B1299" s="9" t="s">
        <v>23</v>
      </c>
      <c r="C1299" s="10">
        <v>46017</v>
      </c>
      <c r="D1299" s="10">
        <v>46017</v>
      </c>
      <c r="E1299" s="9" t="s">
        <v>1779</v>
      </c>
      <c r="F1299" s="9" t="s">
        <v>32</v>
      </c>
      <c r="G1299" s="9" t="s">
        <v>741</v>
      </c>
      <c r="H1299" s="11">
        <v>2052.7800000000002</v>
      </c>
      <c r="I1299" s="11">
        <v>2052.7800000000002</v>
      </c>
      <c r="J1299" s="11">
        <v>0</v>
      </c>
      <c r="K1299">
        <v>1</v>
      </c>
    </row>
    <row r="1300" spans="1:11" x14ac:dyDescent="0.25">
      <c r="A1300" s="9" t="s">
        <v>52</v>
      </c>
      <c r="B1300" s="9" t="s">
        <v>23</v>
      </c>
      <c r="C1300" s="10">
        <v>46017</v>
      </c>
      <c r="D1300" s="10">
        <v>46017</v>
      </c>
      <c r="E1300" s="9" t="s">
        <v>1780</v>
      </c>
      <c r="F1300" s="9" t="s">
        <v>32</v>
      </c>
      <c r="G1300" s="9" t="s">
        <v>84</v>
      </c>
      <c r="H1300" s="11">
        <v>2386.0500000000002</v>
      </c>
      <c r="I1300" s="11">
        <v>2386.0500000000002</v>
      </c>
      <c r="J1300" s="11">
        <v>0</v>
      </c>
      <c r="K1300">
        <v>1</v>
      </c>
    </row>
    <row r="1301" spans="1:11" x14ac:dyDescent="0.25">
      <c r="A1301" s="9" t="s">
        <v>52</v>
      </c>
      <c r="B1301" s="9" t="s">
        <v>23</v>
      </c>
      <c r="C1301" s="10">
        <v>46017</v>
      </c>
      <c r="D1301" s="10">
        <v>46017</v>
      </c>
      <c r="E1301" s="9" t="s">
        <v>1781</v>
      </c>
      <c r="F1301" s="9" t="s">
        <v>32</v>
      </c>
      <c r="G1301" s="9" t="s">
        <v>518</v>
      </c>
      <c r="H1301" s="11">
        <v>1834.8</v>
      </c>
      <c r="I1301" s="11">
        <v>1834.8</v>
      </c>
      <c r="J1301" s="11">
        <v>0</v>
      </c>
      <c r="K1301">
        <v>1</v>
      </c>
    </row>
    <row r="1302" spans="1:11" x14ac:dyDescent="0.25">
      <c r="A1302" s="9" t="s">
        <v>52</v>
      </c>
      <c r="B1302" s="9" t="s">
        <v>23</v>
      </c>
      <c r="C1302" s="10">
        <v>46017</v>
      </c>
      <c r="D1302" s="10">
        <v>46017</v>
      </c>
      <c r="E1302" s="9" t="s">
        <v>1782</v>
      </c>
      <c r="F1302" s="9" t="s">
        <v>32</v>
      </c>
      <c r="G1302" s="9" t="s">
        <v>137</v>
      </c>
      <c r="H1302" s="11">
        <v>1115.2</v>
      </c>
      <c r="I1302" s="11">
        <v>1115.2</v>
      </c>
      <c r="J1302" s="11">
        <v>0</v>
      </c>
      <c r="K1302">
        <v>1</v>
      </c>
    </row>
    <row r="1303" spans="1:11" x14ac:dyDescent="0.25">
      <c r="A1303" s="9" t="s">
        <v>52</v>
      </c>
      <c r="B1303" s="9" t="s">
        <v>23</v>
      </c>
      <c r="C1303" s="10">
        <v>46017</v>
      </c>
      <c r="D1303" s="10">
        <v>46017</v>
      </c>
      <c r="E1303" s="9" t="s">
        <v>1783</v>
      </c>
      <c r="F1303" s="9" t="s">
        <v>32</v>
      </c>
      <c r="G1303" s="9" t="s">
        <v>438</v>
      </c>
      <c r="H1303" s="11">
        <v>2558.31</v>
      </c>
      <c r="I1303" s="11">
        <v>2558.31</v>
      </c>
      <c r="J1303" s="11">
        <v>0</v>
      </c>
      <c r="K1303">
        <v>1</v>
      </c>
    </row>
    <row r="1304" spans="1:11" x14ac:dyDescent="0.25">
      <c r="A1304" s="9" t="s">
        <v>52</v>
      </c>
      <c r="B1304" s="9" t="s">
        <v>23</v>
      </c>
      <c r="C1304" s="10">
        <v>46017</v>
      </c>
      <c r="D1304" s="10">
        <v>46017</v>
      </c>
      <c r="E1304" s="9" t="s">
        <v>1784</v>
      </c>
      <c r="F1304" s="9" t="s">
        <v>32</v>
      </c>
      <c r="G1304" s="9" t="s">
        <v>1785</v>
      </c>
      <c r="H1304" s="11">
        <v>825.02</v>
      </c>
      <c r="I1304" s="11">
        <v>825.02</v>
      </c>
      <c r="J1304" s="11">
        <v>0</v>
      </c>
      <c r="K1304">
        <v>1</v>
      </c>
    </row>
    <row r="1305" spans="1:11" x14ac:dyDescent="0.25">
      <c r="A1305" s="9" t="s">
        <v>52</v>
      </c>
      <c r="B1305" s="9" t="s">
        <v>23</v>
      </c>
      <c r="C1305" s="10">
        <v>46017</v>
      </c>
      <c r="D1305" s="10">
        <v>46017</v>
      </c>
      <c r="E1305" s="9" t="s">
        <v>1786</v>
      </c>
      <c r="F1305" s="9" t="s">
        <v>32</v>
      </c>
      <c r="G1305" s="9" t="s">
        <v>666</v>
      </c>
      <c r="H1305" s="11">
        <v>6521.01</v>
      </c>
      <c r="I1305" s="11">
        <v>6521.01</v>
      </c>
      <c r="J1305" s="11">
        <v>0</v>
      </c>
      <c r="K1305">
        <v>1</v>
      </c>
    </row>
    <row r="1306" spans="1:11" x14ac:dyDescent="0.25">
      <c r="A1306" s="9" t="s">
        <v>52</v>
      </c>
      <c r="B1306" s="9" t="s">
        <v>23</v>
      </c>
      <c r="C1306" s="10">
        <v>46017</v>
      </c>
      <c r="D1306" s="10">
        <v>46017</v>
      </c>
      <c r="E1306" s="9" t="s">
        <v>1787</v>
      </c>
      <c r="F1306" s="9" t="s">
        <v>32</v>
      </c>
      <c r="G1306" s="9" t="s">
        <v>464</v>
      </c>
      <c r="H1306" s="11">
        <v>2446.7399999999998</v>
      </c>
      <c r="I1306" s="11">
        <v>2446.7399999999998</v>
      </c>
      <c r="J1306" s="11">
        <v>0</v>
      </c>
      <c r="K1306">
        <v>1</v>
      </c>
    </row>
    <row r="1307" spans="1:11" x14ac:dyDescent="0.25">
      <c r="A1307" s="9" t="s">
        <v>52</v>
      </c>
      <c r="B1307" s="9" t="s">
        <v>23</v>
      </c>
      <c r="C1307" s="10">
        <v>46017</v>
      </c>
      <c r="D1307" s="10">
        <v>46017</v>
      </c>
      <c r="E1307" s="9" t="s">
        <v>1788</v>
      </c>
      <c r="F1307" s="9" t="s">
        <v>32</v>
      </c>
      <c r="G1307" s="9" t="s">
        <v>432</v>
      </c>
      <c r="H1307" s="11">
        <v>1096.06</v>
      </c>
      <c r="I1307" s="11">
        <v>1096.06</v>
      </c>
      <c r="J1307" s="11">
        <v>0</v>
      </c>
      <c r="K1307">
        <v>1</v>
      </c>
    </row>
    <row r="1308" spans="1:11" x14ac:dyDescent="0.25">
      <c r="A1308" s="9" t="s">
        <v>52</v>
      </c>
      <c r="B1308" s="9" t="s">
        <v>23</v>
      </c>
      <c r="C1308" s="10">
        <v>46017</v>
      </c>
      <c r="D1308" s="10">
        <v>46017</v>
      </c>
      <c r="E1308" s="9" t="s">
        <v>1789</v>
      </c>
      <c r="F1308" s="9" t="s">
        <v>32</v>
      </c>
      <c r="G1308" s="9" t="s">
        <v>264</v>
      </c>
      <c r="H1308" s="11">
        <v>8357.34</v>
      </c>
      <c r="I1308" s="11">
        <v>8357.34</v>
      </c>
      <c r="J1308" s="11">
        <v>0</v>
      </c>
      <c r="K1308">
        <v>1</v>
      </c>
    </row>
    <row r="1309" spans="1:11" x14ac:dyDescent="0.25">
      <c r="A1309" s="9" t="s">
        <v>52</v>
      </c>
      <c r="B1309" s="9" t="s">
        <v>23</v>
      </c>
      <c r="C1309" s="10">
        <v>46017</v>
      </c>
      <c r="D1309" s="10">
        <v>46017</v>
      </c>
      <c r="E1309" s="9" t="s">
        <v>1790</v>
      </c>
      <c r="F1309" s="9" t="s">
        <v>32</v>
      </c>
      <c r="G1309" s="9" t="s">
        <v>1216</v>
      </c>
      <c r="H1309" s="11">
        <v>2253.15</v>
      </c>
      <c r="I1309" s="11">
        <v>2253.15</v>
      </c>
      <c r="J1309" s="11">
        <v>0</v>
      </c>
      <c r="K1309">
        <v>1</v>
      </c>
    </row>
    <row r="1310" spans="1:11" x14ac:dyDescent="0.25">
      <c r="A1310" s="9" t="s">
        <v>52</v>
      </c>
      <c r="B1310" s="9" t="s">
        <v>23</v>
      </c>
      <c r="C1310" s="10">
        <v>46017</v>
      </c>
      <c r="D1310" s="10">
        <v>46017</v>
      </c>
      <c r="E1310" s="9" t="s">
        <v>1791</v>
      </c>
      <c r="F1310" s="9" t="s">
        <v>32</v>
      </c>
      <c r="G1310" s="9" t="s">
        <v>1082</v>
      </c>
      <c r="H1310" s="11">
        <v>4679.67</v>
      </c>
      <c r="I1310" s="11">
        <v>4679.67</v>
      </c>
      <c r="J1310" s="11">
        <v>0</v>
      </c>
      <c r="K1310">
        <v>1</v>
      </c>
    </row>
    <row r="1311" spans="1:11" x14ac:dyDescent="0.25">
      <c r="A1311" s="9" t="s">
        <v>52</v>
      </c>
      <c r="B1311" s="9" t="s">
        <v>23</v>
      </c>
      <c r="C1311" s="10">
        <v>46017</v>
      </c>
      <c r="D1311" s="10">
        <v>46017</v>
      </c>
      <c r="E1311" s="9" t="s">
        <v>1792</v>
      </c>
      <c r="F1311" s="9" t="s">
        <v>32</v>
      </c>
      <c r="G1311" s="9" t="s">
        <v>474</v>
      </c>
      <c r="H1311" s="11">
        <v>1401.18</v>
      </c>
      <c r="I1311" s="11">
        <v>1401.18</v>
      </c>
      <c r="J1311" s="11">
        <v>0</v>
      </c>
      <c r="K1311">
        <v>1</v>
      </c>
    </row>
    <row r="1312" spans="1:11" x14ac:dyDescent="0.25">
      <c r="A1312" s="9" t="s">
        <v>52</v>
      </c>
      <c r="B1312" s="9" t="s">
        <v>23</v>
      </c>
      <c r="C1312" s="10">
        <v>46017</v>
      </c>
      <c r="D1312" s="10">
        <v>46017</v>
      </c>
      <c r="E1312" s="9" t="s">
        <v>1793</v>
      </c>
      <c r="F1312" s="9" t="s">
        <v>32</v>
      </c>
      <c r="G1312" s="9" t="s">
        <v>230</v>
      </c>
      <c r="H1312" s="11">
        <v>8655.82</v>
      </c>
      <c r="I1312" s="11">
        <v>8655.82</v>
      </c>
      <c r="J1312" s="11">
        <v>0</v>
      </c>
      <c r="K1312">
        <v>1</v>
      </c>
    </row>
    <row r="1313" spans="1:11" x14ac:dyDescent="0.25">
      <c r="A1313" s="9" t="s">
        <v>52</v>
      </c>
      <c r="B1313" s="9" t="s">
        <v>23</v>
      </c>
      <c r="C1313" s="10">
        <v>46017</v>
      </c>
      <c r="D1313" s="10">
        <v>46017</v>
      </c>
      <c r="E1313" s="9" t="s">
        <v>1794</v>
      </c>
      <c r="F1313" s="9" t="s">
        <v>32</v>
      </c>
      <c r="G1313" s="9" t="s">
        <v>303</v>
      </c>
      <c r="H1313" s="11">
        <v>5303.64</v>
      </c>
      <c r="I1313" s="11">
        <v>5303.64</v>
      </c>
      <c r="J1313" s="11">
        <v>0</v>
      </c>
      <c r="K1313">
        <v>1</v>
      </c>
    </row>
    <row r="1314" spans="1:11" x14ac:dyDescent="0.25">
      <c r="A1314" s="9" t="s">
        <v>52</v>
      </c>
      <c r="B1314" s="9" t="s">
        <v>23</v>
      </c>
      <c r="C1314" s="10">
        <v>46017</v>
      </c>
      <c r="D1314" s="10">
        <v>46017</v>
      </c>
      <c r="E1314" s="9" t="s">
        <v>1795</v>
      </c>
      <c r="F1314" s="9" t="s">
        <v>32</v>
      </c>
      <c r="G1314" s="9" t="s">
        <v>540</v>
      </c>
      <c r="H1314" s="11">
        <v>2906.44</v>
      </c>
      <c r="I1314" s="11">
        <v>2906.44</v>
      </c>
      <c r="J1314" s="11">
        <v>0</v>
      </c>
      <c r="K1314">
        <v>1</v>
      </c>
    </row>
    <row r="1315" spans="1:11" x14ac:dyDescent="0.25">
      <c r="A1315" s="9" t="s">
        <v>52</v>
      </c>
      <c r="B1315" s="9" t="s">
        <v>23</v>
      </c>
      <c r="C1315" s="10">
        <v>46017</v>
      </c>
      <c r="D1315" s="10">
        <v>46017</v>
      </c>
      <c r="E1315" s="9" t="s">
        <v>1796</v>
      </c>
      <c r="F1315" s="9" t="s">
        <v>32</v>
      </c>
      <c r="G1315" s="9" t="s">
        <v>74</v>
      </c>
      <c r="H1315" s="11">
        <v>2363.04</v>
      </c>
      <c r="I1315" s="11">
        <v>2363.04</v>
      </c>
      <c r="J1315" s="11">
        <v>0</v>
      </c>
      <c r="K1315">
        <v>1</v>
      </c>
    </row>
    <row r="1316" spans="1:11" x14ac:dyDescent="0.25">
      <c r="A1316" s="9" t="s">
        <v>52</v>
      </c>
      <c r="B1316" s="9" t="s">
        <v>23</v>
      </c>
      <c r="C1316" s="10">
        <v>46017</v>
      </c>
      <c r="D1316" s="10">
        <v>46017</v>
      </c>
      <c r="E1316" s="9" t="s">
        <v>1797</v>
      </c>
      <c r="F1316" s="9" t="s">
        <v>32</v>
      </c>
      <c r="G1316" s="9" t="s">
        <v>220</v>
      </c>
      <c r="H1316" s="11">
        <v>1045.68</v>
      </c>
      <c r="I1316" s="11">
        <v>1045.68</v>
      </c>
      <c r="J1316" s="11">
        <v>0</v>
      </c>
      <c r="K1316">
        <v>1</v>
      </c>
    </row>
    <row r="1317" spans="1:11" x14ac:dyDescent="0.25">
      <c r="A1317" s="9" t="s">
        <v>52</v>
      </c>
      <c r="B1317" s="9" t="s">
        <v>23</v>
      </c>
      <c r="C1317" s="10">
        <v>46017</v>
      </c>
      <c r="D1317" s="10">
        <v>46017</v>
      </c>
      <c r="E1317" s="9" t="s">
        <v>1798</v>
      </c>
      <c r="F1317" s="9" t="s">
        <v>32</v>
      </c>
      <c r="G1317" s="9" t="s">
        <v>70</v>
      </c>
      <c r="H1317" s="11">
        <v>2486.3000000000002</v>
      </c>
      <c r="I1317" s="11">
        <v>2486.3000000000002</v>
      </c>
      <c r="J1317" s="11">
        <v>0</v>
      </c>
      <c r="K1317">
        <v>1</v>
      </c>
    </row>
    <row r="1318" spans="1:11" x14ac:dyDescent="0.25">
      <c r="A1318" s="9" t="s">
        <v>52</v>
      </c>
      <c r="B1318" s="9" t="s">
        <v>23</v>
      </c>
      <c r="C1318" s="10">
        <v>46017</v>
      </c>
      <c r="D1318" s="10">
        <v>46017</v>
      </c>
      <c r="E1318" s="9" t="s">
        <v>1799</v>
      </c>
      <c r="F1318" s="9" t="s">
        <v>32</v>
      </c>
      <c r="G1318" s="9" t="s">
        <v>1800</v>
      </c>
      <c r="H1318" s="11">
        <v>1881.27</v>
      </c>
      <c r="I1318" s="11">
        <v>1881.27</v>
      </c>
      <c r="J1318" s="11">
        <v>0</v>
      </c>
      <c r="K1318">
        <v>1</v>
      </c>
    </row>
    <row r="1319" spans="1:11" x14ac:dyDescent="0.25">
      <c r="A1319" s="9" t="s">
        <v>52</v>
      </c>
      <c r="B1319" s="9" t="s">
        <v>23</v>
      </c>
      <c r="C1319" s="10">
        <v>46017</v>
      </c>
      <c r="D1319" s="10">
        <v>46017</v>
      </c>
      <c r="E1319" s="9" t="s">
        <v>1801</v>
      </c>
      <c r="F1319" s="9" t="s">
        <v>32</v>
      </c>
      <c r="G1319" s="9" t="s">
        <v>104</v>
      </c>
      <c r="H1319" s="11">
        <v>3232.5</v>
      </c>
      <c r="I1319" s="11">
        <v>3232.5</v>
      </c>
      <c r="J1319" s="11">
        <v>0</v>
      </c>
      <c r="K1319">
        <v>1</v>
      </c>
    </row>
    <row r="1320" spans="1:11" x14ac:dyDescent="0.25">
      <c r="A1320" s="9" t="s">
        <v>52</v>
      </c>
      <c r="B1320" s="9" t="s">
        <v>23</v>
      </c>
      <c r="C1320" s="10">
        <v>46017</v>
      </c>
      <c r="D1320" s="10">
        <v>46017</v>
      </c>
      <c r="E1320" s="9" t="s">
        <v>1802</v>
      </c>
      <c r="F1320" s="9" t="s">
        <v>32</v>
      </c>
      <c r="G1320" s="9" t="s">
        <v>208</v>
      </c>
      <c r="H1320" s="11">
        <v>2417.9699999999998</v>
      </c>
      <c r="I1320" s="11">
        <v>2417.9699999999998</v>
      </c>
      <c r="J1320" s="11">
        <v>0</v>
      </c>
      <c r="K1320">
        <v>1</v>
      </c>
    </row>
    <row r="1321" spans="1:11" x14ac:dyDescent="0.25">
      <c r="A1321" s="9" t="s">
        <v>52</v>
      </c>
      <c r="B1321" s="9" t="s">
        <v>23</v>
      </c>
      <c r="C1321" s="10">
        <v>46017</v>
      </c>
      <c r="D1321" s="10">
        <v>46017</v>
      </c>
      <c r="E1321" s="9" t="s">
        <v>1803</v>
      </c>
      <c r="F1321" s="9" t="s">
        <v>32</v>
      </c>
      <c r="G1321" s="9" t="s">
        <v>694</v>
      </c>
      <c r="H1321" s="11">
        <v>3339.14</v>
      </c>
      <c r="I1321" s="11">
        <v>3339.14</v>
      </c>
      <c r="J1321" s="11">
        <v>0</v>
      </c>
      <c r="K1321">
        <v>1</v>
      </c>
    </row>
    <row r="1322" spans="1:11" x14ac:dyDescent="0.25">
      <c r="A1322" s="9" t="s">
        <v>52</v>
      </c>
      <c r="B1322" s="9" t="s">
        <v>23</v>
      </c>
      <c r="C1322" s="10">
        <v>46017</v>
      </c>
      <c r="D1322" s="10">
        <v>46017</v>
      </c>
      <c r="E1322" s="9" t="s">
        <v>1804</v>
      </c>
      <c r="F1322" s="9" t="s">
        <v>32</v>
      </c>
      <c r="G1322" s="9" t="s">
        <v>1805</v>
      </c>
      <c r="H1322" s="11">
        <v>1695.06</v>
      </c>
      <c r="I1322" s="11">
        <v>1695.06</v>
      </c>
      <c r="J1322" s="11">
        <v>0</v>
      </c>
      <c r="K1322">
        <v>1</v>
      </c>
    </row>
    <row r="1323" spans="1:11" x14ac:dyDescent="0.25">
      <c r="A1323" s="9" t="s">
        <v>52</v>
      </c>
      <c r="B1323" s="9" t="s">
        <v>23</v>
      </c>
      <c r="C1323" s="10">
        <v>46017</v>
      </c>
      <c r="D1323" s="10">
        <v>46017</v>
      </c>
      <c r="E1323" s="9" t="s">
        <v>1806</v>
      </c>
      <c r="F1323" s="9" t="s">
        <v>32</v>
      </c>
      <c r="G1323" s="9" t="s">
        <v>235</v>
      </c>
      <c r="H1323" s="11">
        <v>16620.86</v>
      </c>
      <c r="I1323" s="11">
        <v>16620.86</v>
      </c>
      <c r="J1323" s="11">
        <v>0</v>
      </c>
      <c r="K1323">
        <v>1</v>
      </c>
    </row>
    <row r="1324" spans="1:11" x14ac:dyDescent="0.25">
      <c r="A1324" s="9" t="s">
        <v>52</v>
      </c>
      <c r="B1324" s="9" t="s">
        <v>23</v>
      </c>
      <c r="C1324" s="10">
        <v>46017</v>
      </c>
      <c r="D1324" s="10">
        <v>46017</v>
      </c>
      <c r="E1324" s="9" t="s">
        <v>1807</v>
      </c>
      <c r="F1324" s="9" t="s">
        <v>141</v>
      </c>
      <c r="G1324" s="9" t="s">
        <v>1808</v>
      </c>
      <c r="H1324" s="11">
        <v>-9940.1200000000008</v>
      </c>
      <c r="I1324" s="11">
        <v>-9940.1200000000008</v>
      </c>
      <c r="J1324" s="11">
        <v>0</v>
      </c>
      <c r="K1324">
        <v>1</v>
      </c>
    </row>
    <row r="1325" spans="1:11" x14ac:dyDescent="0.25">
      <c r="A1325" s="9" t="s">
        <v>52</v>
      </c>
      <c r="B1325" s="9" t="s">
        <v>23</v>
      </c>
      <c r="C1325" s="10">
        <v>46017</v>
      </c>
      <c r="D1325" s="10">
        <v>46017</v>
      </c>
      <c r="E1325" s="9" t="s">
        <v>1809</v>
      </c>
      <c r="F1325" s="9" t="s">
        <v>141</v>
      </c>
      <c r="G1325" s="9" t="s">
        <v>1810</v>
      </c>
      <c r="H1325" s="11">
        <v>-57172.99</v>
      </c>
      <c r="I1325" s="11">
        <v>-57172.99</v>
      </c>
      <c r="J1325" s="11">
        <v>0</v>
      </c>
      <c r="K1325">
        <v>1</v>
      </c>
    </row>
    <row r="1326" spans="1:11" x14ac:dyDescent="0.25">
      <c r="A1326" s="9" t="s">
        <v>52</v>
      </c>
      <c r="B1326" s="9" t="s">
        <v>23</v>
      </c>
      <c r="C1326" s="10">
        <v>46017</v>
      </c>
      <c r="D1326" s="10">
        <v>46017</v>
      </c>
      <c r="E1326" s="9" t="s">
        <v>1811</v>
      </c>
      <c r="F1326" s="9" t="s">
        <v>141</v>
      </c>
      <c r="G1326" s="9" t="s">
        <v>1812</v>
      </c>
      <c r="H1326" s="11">
        <v>-17044.14</v>
      </c>
      <c r="I1326" s="11">
        <v>-17044.14</v>
      </c>
      <c r="J1326" s="11">
        <v>0</v>
      </c>
      <c r="K1326">
        <v>1</v>
      </c>
    </row>
    <row r="1327" spans="1:11" x14ac:dyDescent="0.25">
      <c r="A1327" s="9" t="s">
        <v>52</v>
      </c>
      <c r="B1327" s="9" t="s">
        <v>23</v>
      </c>
      <c r="C1327" s="10">
        <v>46017</v>
      </c>
      <c r="D1327" s="10">
        <v>46017</v>
      </c>
      <c r="E1327" s="9" t="s">
        <v>1813</v>
      </c>
      <c r="F1327" s="9" t="s">
        <v>32</v>
      </c>
      <c r="G1327" s="9" t="s">
        <v>116</v>
      </c>
      <c r="H1327" s="11">
        <v>5418.46</v>
      </c>
      <c r="I1327" s="11">
        <v>5418.46</v>
      </c>
      <c r="J1327" s="11">
        <v>0</v>
      </c>
      <c r="K1327">
        <v>1</v>
      </c>
    </row>
    <row r="1328" spans="1:11" x14ac:dyDescent="0.25">
      <c r="A1328" s="9" t="s">
        <v>52</v>
      </c>
      <c r="B1328" s="9" t="s">
        <v>23</v>
      </c>
      <c r="C1328" s="10">
        <v>46017</v>
      </c>
      <c r="D1328" s="10">
        <v>46017</v>
      </c>
      <c r="E1328" s="9" t="s">
        <v>1814</v>
      </c>
      <c r="F1328" s="9" t="s">
        <v>141</v>
      </c>
      <c r="G1328" s="9" t="s">
        <v>1815</v>
      </c>
      <c r="H1328" s="11">
        <v>-209000.4</v>
      </c>
      <c r="I1328" s="11">
        <v>-209000.4</v>
      </c>
      <c r="J1328" s="11">
        <v>0</v>
      </c>
      <c r="K1328">
        <v>1</v>
      </c>
    </row>
    <row r="1329" spans="1:11" x14ac:dyDescent="0.25">
      <c r="A1329" s="9" t="s">
        <v>52</v>
      </c>
      <c r="B1329" s="9" t="s">
        <v>23</v>
      </c>
      <c r="C1329" s="10">
        <v>46017</v>
      </c>
      <c r="D1329" s="10">
        <v>46017</v>
      </c>
      <c r="E1329" s="9" t="s">
        <v>1816</v>
      </c>
      <c r="F1329" s="9" t="s">
        <v>141</v>
      </c>
      <c r="G1329" s="9" t="s">
        <v>1817</v>
      </c>
      <c r="H1329" s="11">
        <v>-10856</v>
      </c>
      <c r="I1329" s="11">
        <v>-10856</v>
      </c>
      <c r="J1329" s="11">
        <v>0</v>
      </c>
      <c r="K1329">
        <v>1</v>
      </c>
    </row>
    <row r="1330" spans="1:11" x14ac:dyDescent="0.25">
      <c r="A1330" s="9" t="s">
        <v>52</v>
      </c>
      <c r="B1330" s="9" t="s">
        <v>23</v>
      </c>
      <c r="C1330" s="10">
        <v>46017</v>
      </c>
      <c r="D1330" s="10">
        <v>46017</v>
      </c>
      <c r="E1330" s="9" t="s">
        <v>1818</v>
      </c>
      <c r="F1330" s="9" t="s">
        <v>32</v>
      </c>
      <c r="G1330" s="9" t="s">
        <v>509</v>
      </c>
      <c r="H1330" s="11">
        <v>1362.16</v>
      </c>
      <c r="I1330" s="11">
        <v>1362.16</v>
      </c>
      <c r="J1330" s="11">
        <v>0</v>
      </c>
      <c r="K1330">
        <v>1</v>
      </c>
    </row>
    <row r="1331" spans="1:11" x14ac:dyDescent="0.25">
      <c r="A1331" s="9" t="s">
        <v>52</v>
      </c>
      <c r="B1331" s="9" t="s">
        <v>23</v>
      </c>
      <c r="C1331" s="10">
        <v>46017</v>
      </c>
      <c r="D1331" s="10">
        <v>46017</v>
      </c>
      <c r="E1331" s="9" t="s">
        <v>1819</v>
      </c>
      <c r="F1331" s="9" t="s">
        <v>32</v>
      </c>
      <c r="G1331" s="9" t="s">
        <v>428</v>
      </c>
      <c r="H1331" s="11">
        <v>3138.84</v>
      </c>
      <c r="I1331" s="11">
        <v>3138.84</v>
      </c>
      <c r="J1331" s="11">
        <v>0</v>
      </c>
      <c r="K1331">
        <v>1</v>
      </c>
    </row>
    <row r="1332" spans="1:11" x14ac:dyDescent="0.25">
      <c r="A1332" s="9" t="s">
        <v>52</v>
      </c>
      <c r="B1332" s="9" t="s">
        <v>23</v>
      </c>
      <c r="C1332" s="10">
        <v>46017</v>
      </c>
      <c r="D1332" s="10">
        <v>46017</v>
      </c>
      <c r="E1332" s="9" t="s">
        <v>1820</v>
      </c>
      <c r="F1332" s="9" t="s">
        <v>141</v>
      </c>
      <c r="G1332" s="9" t="s">
        <v>1821</v>
      </c>
      <c r="H1332" s="11">
        <v>-9505.3700000000008</v>
      </c>
      <c r="I1332" s="11">
        <v>-9505.3700000000008</v>
      </c>
      <c r="J1332" s="11">
        <v>0</v>
      </c>
      <c r="K1332">
        <v>1</v>
      </c>
    </row>
    <row r="1333" spans="1:11" x14ac:dyDescent="0.25">
      <c r="A1333" s="9" t="s">
        <v>52</v>
      </c>
      <c r="B1333" s="9" t="s">
        <v>23</v>
      </c>
      <c r="C1333" s="10">
        <v>46017</v>
      </c>
      <c r="D1333" s="10">
        <v>46017</v>
      </c>
      <c r="E1333" s="9" t="s">
        <v>1822</v>
      </c>
      <c r="F1333" s="9" t="s">
        <v>141</v>
      </c>
      <c r="G1333" s="9" t="s">
        <v>1823</v>
      </c>
      <c r="H1333" s="11">
        <v>-8748.6299999999992</v>
      </c>
      <c r="I1333" s="11">
        <v>-8748.6299999999992</v>
      </c>
      <c r="J1333" s="11">
        <v>0</v>
      </c>
      <c r="K1333">
        <v>1</v>
      </c>
    </row>
    <row r="1334" spans="1:11" x14ac:dyDescent="0.25">
      <c r="A1334" s="9" t="s">
        <v>52</v>
      </c>
      <c r="B1334" s="9" t="s">
        <v>23</v>
      </c>
      <c r="C1334" s="10">
        <v>46017</v>
      </c>
      <c r="D1334" s="10">
        <v>46017</v>
      </c>
      <c r="E1334" s="9" t="s">
        <v>1824</v>
      </c>
      <c r="F1334" s="9" t="s">
        <v>141</v>
      </c>
      <c r="G1334" s="9" t="s">
        <v>1825</v>
      </c>
      <c r="H1334" s="11">
        <v>-6314.39</v>
      </c>
      <c r="I1334" s="11">
        <v>-6314.39</v>
      </c>
      <c r="J1334" s="11">
        <v>0</v>
      </c>
      <c r="K1334">
        <v>1</v>
      </c>
    </row>
    <row r="1335" spans="1:11" x14ac:dyDescent="0.25">
      <c r="A1335" s="9" t="s">
        <v>52</v>
      </c>
      <c r="B1335" s="9" t="s">
        <v>23</v>
      </c>
      <c r="C1335" s="10">
        <v>46017</v>
      </c>
      <c r="D1335" s="10">
        <v>46017</v>
      </c>
      <c r="E1335" s="9" t="s">
        <v>1826</v>
      </c>
      <c r="F1335" s="9" t="s">
        <v>32</v>
      </c>
      <c r="G1335" s="9" t="s">
        <v>1827</v>
      </c>
      <c r="H1335" s="11">
        <v>717.06</v>
      </c>
      <c r="I1335" s="11">
        <v>717.06</v>
      </c>
      <c r="J1335" s="11">
        <v>0</v>
      </c>
      <c r="K1335">
        <v>1</v>
      </c>
    </row>
    <row r="1336" spans="1:11" x14ac:dyDescent="0.25">
      <c r="A1336" s="9" t="s">
        <v>52</v>
      </c>
      <c r="B1336" s="9" t="s">
        <v>23</v>
      </c>
      <c r="C1336" s="10">
        <v>46017</v>
      </c>
      <c r="D1336" s="10">
        <v>46017</v>
      </c>
      <c r="E1336" s="9" t="s">
        <v>1828</v>
      </c>
      <c r="F1336" s="9" t="s">
        <v>32</v>
      </c>
      <c r="G1336" s="9" t="s">
        <v>1140</v>
      </c>
      <c r="H1336" s="11">
        <v>4560.92</v>
      </c>
      <c r="I1336" s="11">
        <v>4560.92</v>
      </c>
      <c r="J1336" s="11">
        <v>0</v>
      </c>
      <c r="K1336">
        <v>1</v>
      </c>
    </row>
    <row r="1337" spans="1:11" x14ac:dyDescent="0.25">
      <c r="A1337" s="9" t="s">
        <v>52</v>
      </c>
      <c r="B1337" s="9" t="s">
        <v>23</v>
      </c>
      <c r="C1337" s="10">
        <v>46017</v>
      </c>
      <c r="D1337" s="10">
        <v>46017</v>
      </c>
      <c r="E1337" s="9" t="s">
        <v>1829</v>
      </c>
      <c r="F1337" s="9" t="s">
        <v>32</v>
      </c>
      <c r="G1337" s="9" t="s">
        <v>420</v>
      </c>
      <c r="H1337" s="11">
        <v>826.61</v>
      </c>
      <c r="I1337" s="11">
        <v>826.61</v>
      </c>
      <c r="J1337" s="11">
        <v>0</v>
      </c>
      <c r="K1337">
        <v>1</v>
      </c>
    </row>
    <row r="1338" spans="1:11" x14ac:dyDescent="0.25">
      <c r="A1338" s="9" t="s">
        <v>52</v>
      </c>
      <c r="B1338" s="9" t="s">
        <v>23</v>
      </c>
      <c r="C1338" s="10">
        <v>46017</v>
      </c>
      <c r="D1338" s="10">
        <v>46017</v>
      </c>
      <c r="E1338" s="9" t="s">
        <v>1830</v>
      </c>
      <c r="F1338" s="9" t="s">
        <v>32</v>
      </c>
      <c r="G1338" s="9" t="s">
        <v>485</v>
      </c>
      <c r="H1338" s="11">
        <v>993.05</v>
      </c>
      <c r="I1338" s="11">
        <v>993.05</v>
      </c>
      <c r="J1338" s="11">
        <v>0</v>
      </c>
      <c r="K1338">
        <v>1</v>
      </c>
    </row>
    <row r="1339" spans="1:11" x14ac:dyDescent="0.25">
      <c r="A1339" s="9" t="s">
        <v>52</v>
      </c>
      <c r="B1339" s="9" t="s">
        <v>23</v>
      </c>
      <c r="C1339" s="10">
        <v>46017</v>
      </c>
      <c r="D1339" s="10">
        <v>46017</v>
      </c>
      <c r="E1339" s="9" t="s">
        <v>1831</v>
      </c>
      <c r="F1339" s="9" t="s">
        <v>32</v>
      </c>
      <c r="G1339" s="9" t="s">
        <v>600</v>
      </c>
      <c r="H1339" s="11">
        <v>1308.07</v>
      </c>
      <c r="I1339" s="11">
        <v>1308.07</v>
      </c>
      <c r="J1339" s="11">
        <v>0</v>
      </c>
      <c r="K1339">
        <v>1</v>
      </c>
    </row>
    <row r="1340" spans="1:11" x14ac:dyDescent="0.25">
      <c r="A1340" s="9" t="s">
        <v>52</v>
      </c>
      <c r="B1340" s="9" t="s">
        <v>23</v>
      </c>
      <c r="C1340" s="10">
        <v>46017</v>
      </c>
      <c r="D1340" s="10">
        <v>46017</v>
      </c>
      <c r="E1340" s="9" t="s">
        <v>1832</v>
      </c>
      <c r="F1340" s="9" t="s">
        <v>32</v>
      </c>
      <c r="G1340" s="9" t="s">
        <v>92</v>
      </c>
      <c r="H1340" s="11">
        <v>1236.3800000000001</v>
      </c>
      <c r="I1340" s="11">
        <v>1236.3800000000001</v>
      </c>
      <c r="J1340" s="11">
        <v>0</v>
      </c>
      <c r="K1340">
        <v>1</v>
      </c>
    </row>
    <row r="1341" spans="1:11" x14ac:dyDescent="0.25">
      <c r="A1341" s="9" t="s">
        <v>52</v>
      </c>
      <c r="B1341" s="9" t="s">
        <v>23</v>
      </c>
      <c r="C1341" s="10">
        <v>46017</v>
      </c>
      <c r="D1341" s="10">
        <v>46017</v>
      </c>
      <c r="E1341" s="9" t="s">
        <v>1833</v>
      </c>
      <c r="F1341" s="9" t="s">
        <v>32</v>
      </c>
      <c r="G1341" s="9" t="s">
        <v>122</v>
      </c>
      <c r="H1341" s="11">
        <v>6279.45</v>
      </c>
      <c r="I1341" s="11">
        <v>6279.45</v>
      </c>
      <c r="J1341" s="11">
        <v>0</v>
      </c>
      <c r="K1341">
        <v>1</v>
      </c>
    </row>
    <row r="1342" spans="1:11" x14ac:dyDescent="0.25">
      <c r="A1342" s="9" t="s">
        <v>52</v>
      </c>
      <c r="B1342" s="9" t="s">
        <v>23</v>
      </c>
      <c r="C1342" s="10">
        <v>46017</v>
      </c>
      <c r="D1342" s="10">
        <v>46017</v>
      </c>
      <c r="E1342" s="9" t="s">
        <v>1834</v>
      </c>
      <c r="F1342" s="9" t="s">
        <v>32</v>
      </c>
      <c r="G1342" s="9" t="s">
        <v>353</v>
      </c>
      <c r="H1342" s="11">
        <v>914.66</v>
      </c>
      <c r="I1342" s="11">
        <v>914.66</v>
      </c>
      <c r="J1342" s="11">
        <v>0</v>
      </c>
      <c r="K1342">
        <v>1</v>
      </c>
    </row>
    <row r="1343" spans="1:11" x14ac:dyDescent="0.25">
      <c r="A1343" s="9" t="s">
        <v>52</v>
      </c>
      <c r="B1343" s="9" t="s">
        <v>23</v>
      </c>
      <c r="C1343" s="10">
        <v>46017</v>
      </c>
      <c r="D1343" s="10">
        <v>46017</v>
      </c>
      <c r="E1343" s="9" t="s">
        <v>1835</v>
      </c>
      <c r="F1343" s="9" t="s">
        <v>32</v>
      </c>
      <c r="G1343" s="9" t="s">
        <v>247</v>
      </c>
      <c r="H1343" s="11">
        <v>5123.95</v>
      </c>
      <c r="I1343" s="11">
        <v>5123.95</v>
      </c>
      <c r="J1343" s="11">
        <v>0</v>
      </c>
      <c r="K1343">
        <v>1</v>
      </c>
    </row>
    <row r="1344" spans="1:11" x14ac:dyDescent="0.25">
      <c r="A1344" s="9" t="s">
        <v>52</v>
      </c>
      <c r="B1344" s="9" t="s">
        <v>23</v>
      </c>
      <c r="C1344" s="10">
        <v>46017</v>
      </c>
      <c r="D1344" s="10">
        <v>46017</v>
      </c>
      <c r="E1344" s="9" t="s">
        <v>1836</v>
      </c>
      <c r="F1344" s="9" t="s">
        <v>32</v>
      </c>
      <c r="G1344" s="9" t="s">
        <v>226</v>
      </c>
      <c r="H1344" s="11">
        <v>2751.57</v>
      </c>
      <c r="I1344" s="11">
        <v>2751.57</v>
      </c>
      <c r="J1344" s="11">
        <v>0</v>
      </c>
      <c r="K1344">
        <v>1</v>
      </c>
    </row>
    <row r="1345" spans="1:11" x14ac:dyDescent="0.25">
      <c r="A1345" s="9" t="s">
        <v>52</v>
      </c>
      <c r="B1345" s="9" t="s">
        <v>23</v>
      </c>
      <c r="C1345" s="10">
        <v>46017</v>
      </c>
      <c r="D1345" s="10">
        <v>46017</v>
      </c>
      <c r="E1345" s="9" t="s">
        <v>1837</v>
      </c>
      <c r="F1345" s="9" t="s">
        <v>32</v>
      </c>
      <c r="G1345" s="9" t="s">
        <v>133</v>
      </c>
      <c r="H1345" s="11">
        <v>2274.75</v>
      </c>
      <c r="I1345" s="11">
        <v>2274.75</v>
      </c>
      <c r="J1345" s="11">
        <v>0</v>
      </c>
      <c r="K1345">
        <v>1</v>
      </c>
    </row>
    <row r="1346" spans="1:11" x14ac:dyDescent="0.25">
      <c r="A1346" s="9" t="s">
        <v>52</v>
      </c>
      <c r="B1346" s="9" t="s">
        <v>23</v>
      </c>
      <c r="C1346" s="10">
        <v>46017</v>
      </c>
      <c r="D1346" s="10">
        <v>46017</v>
      </c>
      <c r="E1346" s="9" t="s">
        <v>1838</v>
      </c>
      <c r="F1346" s="9" t="s">
        <v>32</v>
      </c>
      <c r="G1346" s="9" t="s">
        <v>316</v>
      </c>
      <c r="H1346" s="11">
        <v>1236.6300000000001</v>
      </c>
      <c r="I1346" s="11">
        <v>1236.6300000000001</v>
      </c>
      <c r="J1346" s="11">
        <v>0</v>
      </c>
      <c r="K1346">
        <v>1</v>
      </c>
    </row>
    <row r="1347" spans="1:11" x14ac:dyDescent="0.25">
      <c r="A1347" s="9" t="s">
        <v>52</v>
      </c>
      <c r="B1347" s="9" t="s">
        <v>23</v>
      </c>
      <c r="C1347" s="10">
        <v>46017</v>
      </c>
      <c r="D1347" s="10">
        <v>46017</v>
      </c>
      <c r="E1347" s="9" t="s">
        <v>1839</v>
      </c>
      <c r="F1347" s="9" t="s">
        <v>32</v>
      </c>
      <c r="G1347" s="9" t="s">
        <v>481</v>
      </c>
      <c r="H1347" s="11">
        <v>1043.5999999999999</v>
      </c>
      <c r="I1347" s="11">
        <v>1043.5999999999999</v>
      </c>
      <c r="J1347" s="11">
        <v>0</v>
      </c>
      <c r="K1347">
        <v>1</v>
      </c>
    </row>
    <row r="1348" spans="1:11" x14ac:dyDescent="0.25">
      <c r="A1348" s="9" t="s">
        <v>52</v>
      </c>
      <c r="B1348" s="9" t="s">
        <v>23</v>
      </c>
      <c r="C1348" s="10">
        <v>46017</v>
      </c>
      <c r="D1348" s="10">
        <v>46017</v>
      </c>
      <c r="E1348" s="9" t="s">
        <v>1840</v>
      </c>
      <c r="F1348" s="9" t="s">
        <v>32</v>
      </c>
      <c r="G1348" s="9" t="s">
        <v>1841</v>
      </c>
      <c r="H1348" s="11">
        <v>1108.04</v>
      </c>
      <c r="I1348" s="11">
        <v>1108.04</v>
      </c>
      <c r="J1348" s="11">
        <v>0</v>
      </c>
      <c r="K1348">
        <v>1</v>
      </c>
    </row>
    <row r="1349" spans="1:11" x14ac:dyDescent="0.25">
      <c r="A1349" s="9" t="s">
        <v>52</v>
      </c>
      <c r="B1349" s="9" t="s">
        <v>23</v>
      </c>
      <c r="C1349" s="10">
        <v>46017</v>
      </c>
      <c r="D1349" s="10">
        <v>46017</v>
      </c>
      <c r="E1349" s="9" t="s">
        <v>1842</v>
      </c>
      <c r="F1349" s="9" t="s">
        <v>141</v>
      </c>
      <c r="G1349" s="9" t="s">
        <v>1843</v>
      </c>
      <c r="H1349" s="11">
        <v>-172741.52</v>
      </c>
      <c r="I1349" s="11">
        <v>-172741.52</v>
      </c>
      <c r="J1349" s="11">
        <v>0</v>
      </c>
      <c r="K1349">
        <v>1</v>
      </c>
    </row>
    <row r="1350" spans="1:11" x14ac:dyDescent="0.25">
      <c r="A1350" s="9" t="s">
        <v>52</v>
      </c>
      <c r="B1350" s="9" t="s">
        <v>55</v>
      </c>
      <c r="C1350" s="10">
        <v>46020</v>
      </c>
      <c r="D1350" s="10">
        <v>46020</v>
      </c>
      <c r="E1350" s="9" t="s">
        <v>1844</v>
      </c>
      <c r="F1350" s="9" t="s">
        <v>57</v>
      </c>
      <c r="G1350" s="9" t="s">
        <v>62</v>
      </c>
      <c r="H1350" s="11">
        <v>643.95000000000005</v>
      </c>
      <c r="I1350" s="11">
        <v>643.95000000000005</v>
      </c>
      <c r="J1350" s="11">
        <v>0</v>
      </c>
      <c r="K1350">
        <v>1</v>
      </c>
    </row>
    <row r="1351" spans="1:11" x14ac:dyDescent="0.25">
      <c r="A1351" s="9" t="s">
        <v>52</v>
      </c>
      <c r="B1351" s="9" t="s">
        <v>23</v>
      </c>
      <c r="C1351" s="10">
        <v>46020</v>
      </c>
      <c r="D1351" s="10">
        <v>46020</v>
      </c>
      <c r="E1351" s="9" t="s">
        <v>1845</v>
      </c>
      <c r="F1351" s="9" t="s">
        <v>32</v>
      </c>
      <c r="G1351" s="9" t="s">
        <v>1006</v>
      </c>
      <c r="H1351" s="11">
        <v>756.49</v>
      </c>
      <c r="I1351" s="11">
        <v>756.49</v>
      </c>
      <c r="J1351" s="11">
        <v>0</v>
      </c>
      <c r="K1351">
        <v>1</v>
      </c>
    </row>
    <row r="1352" spans="1:11" x14ac:dyDescent="0.25">
      <c r="A1352" s="9" t="s">
        <v>52</v>
      </c>
      <c r="B1352" s="9" t="s">
        <v>23</v>
      </c>
      <c r="C1352" s="10">
        <v>46020</v>
      </c>
      <c r="D1352" s="10">
        <v>46020</v>
      </c>
      <c r="E1352" s="9" t="s">
        <v>1846</v>
      </c>
      <c r="F1352" s="9" t="s">
        <v>32</v>
      </c>
      <c r="G1352" s="9" t="s">
        <v>206</v>
      </c>
      <c r="H1352" s="11">
        <v>801.78</v>
      </c>
      <c r="I1352" s="11">
        <v>801.78</v>
      </c>
      <c r="J1352" s="11">
        <v>0</v>
      </c>
      <c r="K1352">
        <v>1</v>
      </c>
    </row>
    <row r="1353" spans="1:11" x14ac:dyDescent="0.25">
      <c r="A1353" s="9" t="s">
        <v>52</v>
      </c>
      <c r="B1353" s="9" t="s">
        <v>23</v>
      </c>
      <c r="C1353" s="10">
        <v>46020</v>
      </c>
      <c r="D1353" s="10">
        <v>46020</v>
      </c>
      <c r="E1353" s="9" t="s">
        <v>1847</v>
      </c>
      <c r="F1353" s="9" t="s">
        <v>32</v>
      </c>
      <c r="G1353" s="9" t="s">
        <v>1140</v>
      </c>
      <c r="H1353" s="11">
        <v>2471.52</v>
      </c>
      <c r="I1353" s="11">
        <v>2471.52</v>
      </c>
      <c r="J1353" s="11">
        <v>0</v>
      </c>
      <c r="K1353">
        <v>1</v>
      </c>
    </row>
    <row r="1354" spans="1:11" x14ac:dyDescent="0.25">
      <c r="A1354" s="9" t="s">
        <v>52</v>
      </c>
      <c r="B1354" s="9" t="s">
        <v>23</v>
      </c>
      <c r="C1354" s="10">
        <v>46020</v>
      </c>
      <c r="D1354" s="10">
        <v>46020</v>
      </c>
      <c r="E1354" s="9" t="s">
        <v>1848</v>
      </c>
      <c r="F1354" s="9" t="s">
        <v>32</v>
      </c>
      <c r="G1354" s="9" t="s">
        <v>353</v>
      </c>
      <c r="H1354" s="11">
        <v>464.52</v>
      </c>
      <c r="I1354" s="11">
        <v>464.52</v>
      </c>
      <c r="J1354" s="11">
        <v>0</v>
      </c>
      <c r="K1354">
        <v>1</v>
      </c>
    </row>
    <row r="1355" spans="1:11" x14ac:dyDescent="0.25">
      <c r="A1355" s="9" t="s">
        <v>52</v>
      </c>
      <c r="B1355" s="9" t="s">
        <v>23</v>
      </c>
      <c r="C1355" s="10">
        <v>46020</v>
      </c>
      <c r="D1355" s="10">
        <v>46020</v>
      </c>
      <c r="E1355" s="9" t="s">
        <v>1849</v>
      </c>
      <c r="F1355" s="9" t="s">
        <v>32</v>
      </c>
      <c r="G1355" s="9" t="s">
        <v>252</v>
      </c>
      <c r="H1355" s="11">
        <v>6124.62</v>
      </c>
      <c r="I1355" s="11">
        <v>6124.62</v>
      </c>
      <c r="J1355" s="11">
        <v>0</v>
      </c>
      <c r="K1355">
        <v>1</v>
      </c>
    </row>
    <row r="1356" spans="1:11" x14ac:dyDescent="0.25">
      <c r="A1356" s="9" t="s">
        <v>52</v>
      </c>
      <c r="B1356" s="9" t="s">
        <v>23</v>
      </c>
      <c r="C1356" s="10">
        <v>46020</v>
      </c>
      <c r="D1356" s="10">
        <v>46020</v>
      </c>
      <c r="E1356" s="9" t="s">
        <v>1850</v>
      </c>
      <c r="F1356" s="9" t="s">
        <v>32</v>
      </c>
      <c r="G1356" s="9" t="s">
        <v>243</v>
      </c>
      <c r="H1356" s="11">
        <v>13749.49</v>
      </c>
      <c r="I1356" s="11">
        <v>13749.49</v>
      </c>
      <c r="J1356" s="11">
        <v>0</v>
      </c>
      <c r="K1356">
        <v>1</v>
      </c>
    </row>
    <row r="1357" spans="1:11" x14ac:dyDescent="0.25">
      <c r="A1357" s="9" t="s">
        <v>52</v>
      </c>
      <c r="B1357" s="9" t="s">
        <v>23</v>
      </c>
      <c r="C1357" s="10">
        <v>46020</v>
      </c>
      <c r="D1357" s="10">
        <v>46020</v>
      </c>
      <c r="E1357" s="9" t="s">
        <v>1851</v>
      </c>
      <c r="F1357" s="9" t="s">
        <v>32</v>
      </c>
      <c r="G1357" s="9" t="s">
        <v>1316</v>
      </c>
      <c r="H1357" s="11">
        <v>2950.72</v>
      </c>
      <c r="I1357" s="11">
        <v>2950.72</v>
      </c>
      <c r="J1357" s="11">
        <v>0</v>
      </c>
      <c r="K1357">
        <v>1</v>
      </c>
    </row>
    <row r="1358" spans="1:11" x14ac:dyDescent="0.25">
      <c r="A1358" s="9" t="s">
        <v>52</v>
      </c>
      <c r="B1358" s="9" t="s">
        <v>23</v>
      </c>
      <c r="C1358" s="10">
        <v>46020</v>
      </c>
      <c r="D1358" s="10">
        <v>46020</v>
      </c>
      <c r="E1358" s="9" t="s">
        <v>1852</v>
      </c>
      <c r="F1358" s="9" t="s">
        <v>32</v>
      </c>
      <c r="G1358" s="9" t="s">
        <v>600</v>
      </c>
      <c r="H1358" s="11">
        <v>1266.4000000000001</v>
      </c>
      <c r="I1358" s="11">
        <v>1266.4000000000001</v>
      </c>
      <c r="J1358" s="11">
        <v>0</v>
      </c>
      <c r="K1358">
        <v>1</v>
      </c>
    </row>
    <row r="1359" spans="1:11" x14ac:dyDescent="0.25">
      <c r="A1359" s="9" t="s">
        <v>52</v>
      </c>
      <c r="B1359" s="9" t="s">
        <v>23</v>
      </c>
      <c r="C1359" s="10">
        <v>46020</v>
      </c>
      <c r="D1359" s="10">
        <v>46020</v>
      </c>
      <c r="E1359" s="9" t="s">
        <v>1853</v>
      </c>
      <c r="F1359" s="9" t="s">
        <v>32</v>
      </c>
      <c r="G1359" s="9" t="s">
        <v>58</v>
      </c>
      <c r="H1359" s="11">
        <v>2219.48</v>
      </c>
      <c r="I1359" s="11">
        <v>2219.48</v>
      </c>
      <c r="J1359" s="11">
        <v>0</v>
      </c>
      <c r="K1359">
        <v>1</v>
      </c>
    </row>
    <row r="1360" spans="1:11" x14ac:dyDescent="0.25">
      <c r="A1360" s="9" t="s">
        <v>52</v>
      </c>
      <c r="B1360" s="9" t="s">
        <v>23</v>
      </c>
      <c r="C1360" s="10">
        <v>46020</v>
      </c>
      <c r="D1360" s="10">
        <v>46020</v>
      </c>
      <c r="E1360" s="9" t="s">
        <v>1854</v>
      </c>
      <c r="F1360" s="9" t="s">
        <v>32</v>
      </c>
      <c r="G1360" s="9" t="s">
        <v>66</v>
      </c>
      <c r="H1360" s="11">
        <v>6324.34</v>
      </c>
      <c r="I1360" s="11">
        <v>6324.34</v>
      </c>
      <c r="J1360" s="11">
        <v>0</v>
      </c>
      <c r="K1360">
        <v>1</v>
      </c>
    </row>
    <row r="1361" spans="1:11" x14ac:dyDescent="0.25">
      <c r="A1361" s="9" t="s">
        <v>52</v>
      </c>
      <c r="B1361" s="9" t="s">
        <v>23</v>
      </c>
      <c r="C1361" s="10">
        <v>46020</v>
      </c>
      <c r="D1361" s="10">
        <v>46020</v>
      </c>
      <c r="E1361" s="9" t="s">
        <v>1855</v>
      </c>
      <c r="F1361" s="9" t="s">
        <v>32</v>
      </c>
      <c r="G1361" s="9" t="s">
        <v>68</v>
      </c>
      <c r="H1361" s="11">
        <v>2060.08</v>
      </c>
      <c r="I1361" s="11">
        <v>2060.08</v>
      </c>
      <c r="J1361" s="11">
        <v>0</v>
      </c>
      <c r="K1361">
        <v>1</v>
      </c>
    </row>
    <row r="1362" spans="1:11" x14ac:dyDescent="0.25">
      <c r="A1362" s="9" t="s">
        <v>52</v>
      </c>
      <c r="B1362" s="9" t="s">
        <v>23</v>
      </c>
      <c r="C1362" s="10">
        <v>46020</v>
      </c>
      <c r="D1362" s="10">
        <v>46020</v>
      </c>
      <c r="E1362" s="9" t="s">
        <v>1856</v>
      </c>
      <c r="F1362" s="9" t="s">
        <v>32</v>
      </c>
      <c r="G1362" s="9" t="s">
        <v>281</v>
      </c>
      <c r="H1362" s="11">
        <v>4449.05</v>
      </c>
      <c r="I1362" s="11">
        <v>4449.05</v>
      </c>
      <c r="J1362" s="11">
        <v>0</v>
      </c>
      <c r="K1362">
        <v>1</v>
      </c>
    </row>
    <row r="1363" spans="1:11" x14ac:dyDescent="0.25">
      <c r="A1363" s="9" t="s">
        <v>52</v>
      </c>
      <c r="B1363" s="9" t="s">
        <v>23</v>
      </c>
      <c r="C1363" s="10">
        <v>46020</v>
      </c>
      <c r="D1363" s="10">
        <v>46020</v>
      </c>
      <c r="E1363" s="9" t="s">
        <v>1857</v>
      </c>
      <c r="F1363" s="9" t="s">
        <v>32</v>
      </c>
      <c r="G1363" s="9" t="s">
        <v>264</v>
      </c>
      <c r="H1363" s="11">
        <v>7268.82</v>
      </c>
      <c r="I1363" s="11">
        <v>7268.82</v>
      </c>
      <c r="J1363" s="11">
        <v>0</v>
      </c>
      <c r="K1363">
        <v>1</v>
      </c>
    </row>
    <row r="1364" spans="1:11" x14ac:dyDescent="0.25">
      <c r="A1364" s="9" t="s">
        <v>52</v>
      </c>
      <c r="B1364" s="9" t="s">
        <v>23</v>
      </c>
      <c r="C1364" s="10">
        <v>46020</v>
      </c>
      <c r="D1364" s="10">
        <v>46020</v>
      </c>
      <c r="E1364" s="9" t="s">
        <v>1858</v>
      </c>
      <c r="F1364" s="9" t="s">
        <v>32</v>
      </c>
      <c r="G1364" s="9" t="s">
        <v>264</v>
      </c>
      <c r="H1364" s="11">
        <v>9116.7800000000007</v>
      </c>
      <c r="I1364" s="11">
        <v>9116.7800000000007</v>
      </c>
      <c r="J1364" s="11">
        <v>0</v>
      </c>
      <c r="K1364">
        <v>1</v>
      </c>
    </row>
    <row r="1365" spans="1:11" x14ac:dyDescent="0.25">
      <c r="A1365" s="9" t="s">
        <v>52</v>
      </c>
      <c r="B1365" s="9" t="s">
        <v>23</v>
      </c>
      <c r="C1365" s="10">
        <v>46020</v>
      </c>
      <c r="D1365" s="10">
        <v>46020</v>
      </c>
      <c r="E1365" s="9" t="s">
        <v>1859</v>
      </c>
      <c r="F1365" s="9" t="s">
        <v>32</v>
      </c>
      <c r="G1365" s="9" t="s">
        <v>850</v>
      </c>
      <c r="H1365" s="11">
        <v>2684.71</v>
      </c>
      <c r="I1365" s="11">
        <v>2684.71</v>
      </c>
      <c r="J1365" s="11">
        <v>0</v>
      </c>
      <c r="K1365">
        <v>1</v>
      </c>
    </row>
    <row r="1366" spans="1:11" x14ac:dyDescent="0.25">
      <c r="A1366" s="9" t="s">
        <v>52</v>
      </c>
      <c r="B1366" s="9" t="s">
        <v>23</v>
      </c>
      <c r="C1366" s="10">
        <v>46020</v>
      </c>
      <c r="D1366" s="10">
        <v>46020</v>
      </c>
      <c r="E1366" s="9" t="s">
        <v>1860</v>
      </c>
      <c r="F1366" s="9" t="s">
        <v>32</v>
      </c>
      <c r="G1366" s="9" t="s">
        <v>192</v>
      </c>
      <c r="H1366" s="11">
        <v>1033.5899999999999</v>
      </c>
      <c r="I1366" s="11">
        <v>1033.5899999999999</v>
      </c>
      <c r="J1366" s="11">
        <v>0</v>
      </c>
      <c r="K1366">
        <v>1</v>
      </c>
    </row>
    <row r="1367" spans="1:11" x14ac:dyDescent="0.25">
      <c r="A1367" s="9" t="s">
        <v>52</v>
      </c>
      <c r="B1367" s="9" t="s">
        <v>23</v>
      </c>
      <c r="C1367" s="10">
        <v>46020</v>
      </c>
      <c r="D1367" s="10">
        <v>46020</v>
      </c>
      <c r="E1367" s="9" t="s">
        <v>1861</v>
      </c>
      <c r="F1367" s="9" t="s">
        <v>32</v>
      </c>
      <c r="G1367" s="9" t="s">
        <v>307</v>
      </c>
      <c r="H1367" s="11">
        <v>4811</v>
      </c>
      <c r="I1367" s="11">
        <v>4811</v>
      </c>
      <c r="J1367" s="11">
        <v>0</v>
      </c>
      <c r="K1367">
        <v>1</v>
      </c>
    </row>
    <row r="1368" spans="1:11" x14ac:dyDescent="0.25">
      <c r="A1368" s="9" t="s">
        <v>52</v>
      </c>
      <c r="B1368" s="9" t="s">
        <v>23</v>
      </c>
      <c r="C1368" s="10">
        <v>46020</v>
      </c>
      <c r="D1368" s="10">
        <v>46020</v>
      </c>
      <c r="E1368" s="9" t="s">
        <v>1862</v>
      </c>
      <c r="F1368" s="9" t="s">
        <v>32</v>
      </c>
      <c r="G1368" s="9" t="s">
        <v>224</v>
      </c>
      <c r="H1368" s="11">
        <v>3854.08</v>
      </c>
      <c r="I1368" s="11">
        <v>3854.08</v>
      </c>
      <c r="J1368" s="11">
        <v>0</v>
      </c>
      <c r="K1368">
        <v>1</v>
      </c>
    </row>
    <row r="1369" spans="1:11" x14ac:dyDescent="0.25">
      <c r="A1369" s="9" t="s">
        <v>52</v>
      </c>
      <c r="B1369" s="9" t="s">
        <v>23</v>
      </c>
      <c r="C1369" s="10">
        <v>46020</v>
      </c>
      <c r="D1369" s="10">
        <v>46020</v>
      </c>
      <c r="E1369" s="9" t="s">
        <v>1863</v>
      </c>
      <c r="F1369" s="9" t="s">
        <v>32</v>
      </c>
      <c r="G1369" s="9" t="s">
        <v>694</v>
      </c>
      <c r="H1369" s="11">
        <v>1472.77</v>
      </c>
      <c r="I1369" s="11">
        <v>1472.77</v>
      </c>
      <c r="J1369" s="11">
        <v>0</v>
      </c>
      <c r="K1369">
        <v>1</v>
      </c>
    </row>
    <row r="1370" spans="1:11" x14ac:dyDescent="0.25">
      <c r="A1370" s="9" t="s">
        <v>52</v>
      </c>
      <c r="B1370" s="9" t="s">
        <v>23</v>
      </c>
      <c r="C1370" s="10">
        <v>46020</v>
      </c>
      <c r="D1370" s="10">
        <v>46020</v>
      </c>
      <c r="E1370" s="9" t="s">
        <v>1864</v>
      </c>
      <c r="F1370" s="9" t="s">
        <v>32</v>
      </c>
      <c r="G1370" s="9" t="s">
        <v>245</v>
      </c>
      <c r="H1370" s="11">
        <v>6912.02</v>
      </c>
      <c r="I1370" s="11">
        <v>6912.02</v>
      </c>
      <c r="J1370" s="11">
        <v>0</v>
      </c>
      <c r="K1370">
        <v>1</v>
      </c>
    </row>
    <row r="1371" spans="1:11" x14ac:dyDescent="0.25">
      <c r="A1371" s="9" t="s">
        <v>52</v>
      </c>
      <c r="B1371" s="9" t="s">
        <v>23</v>
      </c>
      <c r="C1371" s="10">
        <v>46020</v>
      </c>
      <c r="D1371" s="10">
        <v>46020</v>
      </c>
      <c r="E1371" s="9" t="s">
        <v>1865</v>
      </c>
      <c r="F1371" s="9" t="s">
        <v>32</v>
      </c>
      <c r="G1371" s="9" t="s">
        <v>186</v>
      </c>
      <c r="H1371" s="11">
        <v>3110.81</v>
      </c>
      <c r="I1371" s="11">
        <v>3110.81</v>
      </c>
      <c r="J1371" s="11">
        <v>0</v>
      </c>
      <c r="K1371">
        <v>1</v>
      </c>
    </row>
    <row r="1372" spans="1:11" x14ac:dyDescent="0.25">
      <c r="A1372" s="9" t="s">
        <v>52</v>
      </c>
      <c r="B1372" s="9" t="s">
        <v>23</v>
      </c>
      <c r="C1372" s="10">
        <v>46020</v>
      </c>
      <c r="D1372" s="10">
        <v>46020</v>
      </c>
      <c r="E1372" s="9" t="s">
        <v>1866</v>
      </c>
      <c r="F1372" s="9" t="s">
        <v>32</v>
      </c>
      <c r="G1372" s="9" t="s">
        <v>1550</v>
      </c>
      <c r="H1372" s="11">
        <v>1344.9</v>
      </c>
      <c r="I1372" s="11">
        <v>1344.9</v>
      </c>
      <c r="J1372" s="11">
        <v>0</v>
      </c>
      <c r="K1372">
        <v>1</v>
      </c>
    </row>
    <row r="1373" spans="1:11" x14ac:dyDescent="0.25">
      <c r="A1373" s="9" t="s">
        <v>52</v>
      </c>
      <c r="B1373" s="9" t="s">
        <v>23</v>
      </c>
      <c r="C1373" s="10">
        <v>46020</v>
      </c>
      <c r="D1373" s="10">
        <v>46020</v>
      </c>
      <c r="E1373" s="9" t="s">
        <v>1867</v>
      </c>
      <c r="F1373" s="9" t="s">
        <v>32</v>
      </c>
      <c r="G1373" s="9" t="s">
        <v>127</v>
      </c>
      <c r="H1373" s="11">
        <v>618.30999999999995</v>
      </c>
      <c r="I1373" s="11">
        <v>618.30999999999995</v>
      </c>
      <c r="J1373" s="11">
        <v>0</v>
      </c>
      <c r="K1373">
        <v>1</v>
      </c>
    </row>
    <row r="1374" spans="1:11" x14ac:dyDescent="0.25">
      <c r="A1374" s="9" t="s">
        <v>52</v>
      </c>
      <c r="B1374" s="9" t="s">
        <v>23</v>
      </c>
      <c r="C1374" s="10">
        <v>46020</v>
      </c>
      <c r="D1374" s="10">
        <v>46020</v>
      </c>
      <c r="E1374" s="9" t="s">
        <v>1868</v>
      </c>
      <c r="F1374" s="9" t="s">
        <v>32</v>
      </c>
      <c r="G1374" s="9" t="s">
        <v>784</v>
      </c>
      <c r="H1374" s="11">
        <v>1592.83</v>
      </c>
      <c r="I1374" s="11">
        <v>1592.83</v>
      </c>
      <c r="J1374" s="11">
        <v>0</v>
      </c>
      <c r="K1374">
        <v>1</v>
      </c>
    </row>
    <row r="1375" spans="1:11" x14ac:dyDescent="0.25">
      <c r="A1375" s="9" t="s">
        <v>52</v>
      </c>
      <c r="B1375" s="9" t="s">
        <v>23</v>
      </c>
      <c r="C1375" s="10">
        <v>46020</v>
      </c>
      <c r="D1375" s="10">
        <v>46020</v>
      </c>
      <c r="E1375" s="9" t="s">
        <v>1869</v>
      </c>
      <c r="F1375" s="9" t="s">
        <v>32</v>
      </c>
      <c r="G1375" s="9" t="s">
        <v>78</v>
      </c>
      <c r="H1375" s="11">
        <v>2453.4299999999998</v>
      </c>
      <c r="I1375" s="11">
        <v>2453.4299999999998</v>
      </c>
      <c r="J1375" s="11">
        <v>0</v>
      </c>
      <c r="K1375">
        <v>1</v>
      </c>
    </row>
    <row r="1376" spans="1:11" x14ac:dyDescent="0.25">
      <c r="A1376" s="9" t="s">
        <v>52</v>
      </c>
      <c r="B1376" s="9" t="s">
        <v>23</v>
      </c>
      <c r="C1376" s="10">
        <v>46020</v>
      </c>
      <c r="D1376" s="10">
        <v>46020</v>
      </c>
      <c r="E1376" s="9" t="s">
        <v>1870</v>
      </c>
      <c r="F1376" s="9" t="s">
        <v>32</v>
      </c>
      <c r="G1376" s="9" t="s">
        <v>831</v>
      </c>
      <c r="H1376" s="11">
        <v>2267.83</v>
      </c>
      <c r="I1376" s="11">
        <v>2267.83</v>
      </c>
      <c r="J1376" s="11">
        <v>0</v>
      </c>
      <c r="K1376">
        <v>1</v>
      </c>
    </row>
    <row r="1377" spans="1:11" x14ac:dyDescent="0.25">
      <c r="A1377" s="9" t="s">
        <v>52</v>
      </c>
      <c r="B1377" s="9" t="s">
        <v>23</v>
      </c>
      <c r="C1377" s="10">
        <v>46020</v>
      </c>
      <c r="D1377" s="10">
        <v>46020</v>
      </c>
      <c r="E1377" s="9" t="s">
        <v>1871</v>
      </c>
      <c r="F1377" s="9" t="s">
        <v>32</v>
      </c>
      <c r="G1377" s="9" t="s">
        <v>741</v>
      </c>
      <c r="H1377" s="11">
        <v>2509.52</v>
      </c>
      <c r="I1377" s="11">
        <v>2509.52</v>
      </c>
      <c r="J1377" s="11">
        <v>0</v>
      </c>
      <c r="K1377">
        <v>1</v>
      </c>
    </row>
    <row r="1378" spans="1:11" x14ac:dyDescent="0.25">
      <c r="A1378" s="9" t="s">
        <v>52</v>
      </c>
      <c r="B1378" s="9" t="s">
        <v>23</v>
      </c>
      <c r="C1378" s="10">
        <v>46020</v>
      </c>
      <c r="D1378" s="10">
        <v>46020</v>
      </c>
      <c r="E1378" s="9" t="s">
        <v>1872</v>
      </c>
      <c r="F1378" s="9" t="s">
        <v>32</v>
      </c>
      <c r="G1378" s="9" t="s">
        <v>74</v>
      </c>
      <c r="H1378" s="11">
        <v>1117.69</v>
      </c>
      <c r="I1378" s="11">
        <v>1117.69</v>
      </c>
      <c r="J1378" s="11">
        <v>0</v>
      </c>
      <c r="K1378">
        <v>1</v>
      </c>
    </row>
    <row r="1379" spans="1:11" x14ac:dyDescent="0.25">
      <c r="A1379" s="9" t="s">
        <v>52</v>
      </c>
      <c r="B1379" s="9" t="s">
        <v>23</v>
      </c>
      <c r="C1379" s="10">
        <v>46020</v>
      </c>
      <c r="D1379" s="10">
        <v>46020</v>
      </c>
      <c r="E1379" s="9" t="s">
        <v>1873</v>
      </c>
      <c r="F1379" s="9" t="s">
        <v>32</v>
      </c>
      <c r="G1379" s="9" t="s">
        <v>375</v>
      </c>
      <c r="H1379" s="11">
        <v>391.37</v>
      </c>
      <c r="I1379" s="11">
        <v>391.37</v>
      </c>
      <c r="J1379" s="11">
        <v>0</v>
      </c>
      <c r="K1379">
        <v>1</v>
      </c>
    </row>
    <row r="1380" spans="1:11" x14ac:dyDescent="0.25">
      <c r="A1380" s="9" t="s">
        <v>52</v>
      </c>
      <c r="B1380" s="9" t="s">
        <v>23</v>
      </c>
      <c r="C1380" s="10">
        <v>46020</v>
      </c>
      <c r="D1380" s="10">
        <v>46020</v>
      </c>
      <c r="E1380" s="9" t="s">
        <v>1874</v>
      </c>
      <c r="F1380" s="9" t="s">
        <v>32</v>
      </c>
      <c r="G1380" s="9" t="s">
        <v>1477</v>
      </c>
      <c r="H1380" s="11">
        <v>1162.1400000000001</v>
      </c>
      <c r="I1380" s="11">
        <v>1162.1400000000001</v>
      </c>
      <c r="J1380" s="11">
        <v>0</v>
      </c>
      <c r="K1380">
        <v>1</v>
      </c>
    </row>
    <row r="1381" spans="1:11" x14ac:dyDescent="0.25">
      <c r="A1381" s="9" t="s">
        <v>52</v>
      </c>
      <c r="B1381" s="9" t="s">
        <v>23</v>
      </c>
      <c r="C1381" s="10">
        <v>46020</v>
      </c>
      <c r="D1381" s="10">
        <v>46020</v>
      </c>
      <c r="E1381" s="9" t="s">
        <v>1875</v>
      </c>
      <c r="F1381" s="9" t="s">
        <v>32</v>
      </c>
      <c r="G1381" s="9" t="s">
        <v>336</v>
      </c>
      <c r="H1381" s="11">
        <v>853.28</v>
      </c>
      <c r="I1381" s="11">
        <v>853.28</v>
      </c>
      <c r="J1381" s="11">
        <v>0</v>
      </c>
      <c r="K1381">
        <v>1</v>
      </c>
    </row>
    <row r="1382" spans="1:11" x14ac:dyDescent="0.25">
      <c r="A1382" s="9" t="s">
        <v>52</v>
      </c>
      <c r="B1382" s="9" t="s">
        <v>23</v>
      </c>
      <c r="C1382" s="10">
        <v>46020</v>
      </c>
      <c r="D1382" s="10">
        <v>46020</v>
      </c>
      <c r="E1382" s="9" t="s">
        <v>1876</v>
      </c>
      <c r="F1382" s="9" t="s">
        <v>32</v>
      </c>
      <c r="G1382" s="9" t="s">
        <v>1006</v>
      </c>
      <c r="H1382" s="11">
        <v>307.39999999999998</v>
      </c>
      <c r="I1382" s="11">
        <v>307.39999999999998</v>
      </c>
      <c r="J1382" s="11">
        <v>0</v>
      </c>
      <c r="K1382">
        <v>1</v>
      </c>
    </row>
    <row r="1383" spans="1:11" x14ac:dyDescent="0.25">
      <c r="A1383" s="9" t="s">
        <v>52</v>
      </c>
      <c r="B1383" s="9" t="s">
        <v>23</v>
      </c>
      <c r="C1383" s="10">
        <v>46020</v>
      </c>
      <c r="D1383" s="10">
        <v>46020</v>
      </c>
      <c r="E1383" s="9" t="s">
        <v>1877</v>
      </c>
      <c r="F1383" s="9" t="s">
        <v>32</v>
      </c>
      <c r="G1383" s="9" t="s">
        <v>200</v>
      </c>
      <c r="H1383" s="11">
        <v>3064.51</v>
      </c>
      <c r="I1383" s="11">
        <v>3064.51</v>
      </c>
      <c r="J1383" s="11">
        <v>0</v>
      </c>
      <c r="K1383">
        <v>1</v>
      </c>
    </row>
    <row r="1384" spans="1:11" x14ac:dyDescent="0.25">
      <c r="A1384" s="9" t="s">
        <v>52</v>
      </c>
      <c r="B1384" s="9" t="s">
        <v>23</v>
      </c>
      <c r="C1384" s="10">
        <v>46020</v>
      </c>
      <c r="D1384" s="10">
        <v>46020</v>
      </c>
      <c r="E1384" s="9" t="s">
        <v>1878</v>
      </c>
      <c r="F1384" s="9" t="s">
        <v>32</v>
      </c>
      <c r="G1384" s="9" t="s">
        <v>705</v>
      </c>
      <c r="H1384" s="11">
        <v>1564.1</v>
      </c>
      <c r="I1384" s="11">
        <v>1564.1</v>
      </c>
      <c r="J1384" s="11">
        <v>0</v>
      </c>
      <c r="K1384">
        <v>1</v>
      </c>
    </row>
    <row r="1385" spans="1:11" x14ac:dyDescent="0.25">
      <c r="A1385" s="9" t="s">
        <v>52</v>
      </c>
      <c r="B1385" s="9" t="s">
        <v>23</v>
      </c>
      <c r="C1385" s="10">
        <v>46020</v>
      </c>
      <c r="D1385" s="10">
        <v>46020</v>
      </c>
      <c r="E1385" s="9" t="s">
        <v>1879</v>
      </c>
      <c r="F1385" s="9" t="s">
        <v>32</v>
      </c>
      <c r="G1385" s="9" t="s">
        <v>196</v>
      </c>
      <c r="H1385" s="11">
        <v>2120.5700000000002</v>
      </c>
      <c r="I1385" s="11">
        <v>2120.5700000000002</v>
      </c>
      <c r="J1385" s="11">
        <v>0</v>
      </c>
      <c r="K1385">
        <v>1</v>
      </c>
    </row>
    <row r="1386" spans="1:11" x14ac:dyDescent="0.25">
      <c r="A1386" s="9" t="s">
        <v>52</v>
      </c>
      <c r="B1386" s="9" t="s">
        <v>23</v>
      </c>
      <c r="C1386" s="10">
        <v>46020</v>
      </c>
      <c r="D1386" s="10">
        <v>46020</v>
      </c>
      <c r="E1386" s="9" t="s">
        <v>1880</v>
      </c>
      <c r="F1386" s="9" t="s">
        <v>32</v>
      </c>
      <c r="G1386" s="9" t="s">
        <v>293</v>
      </c>
      <c r="H1386" s="11">
        <v>7979.14</v>
      </c>
      <c r="I1386" s="11">
        <v>7979.14</v>
      </c>
      <c r="J1386" s="11">
        <v>0</v>
      </c>
      <c r="K1386">
        <v>1</v>
      </c>
    </row>
    <row r="1387" spans="1:11" x14ac:dyDescent="0.25">
      <c r="A1387" s="9" t="s">
        <v>52</v>
      </c>
      <c r="B1387" s="9" t="s">
        <v>23</v>
      </c>
      <c r="C1387" s="10">
        <v>46020</v>
      </c>
      <c r="D1387" s="10">
        <v>46020</v>
      </c>
      <c r="E1387" s="9" t="s">
        <v>1881</v>
      </c>
      <c r="F1387" s="9" t="s">
        <v>32</v>
      </c>
      <c r="G1387" s="9" t="s">
        <v>506</v>
      </c>
      <c r="H1387" s="11">
        <v>1702.85</v>
      </c>
      <c r="I1387" s="11">
        <v>1702.85</v>
      </c>
      <c r="J1387" s="11">
        <v>0</v>
      </c>
      <c r="K1387">
        <v>1</v>
      </c>
    </row>
    <row r="1388" spans="1:11" x14ac:dyDescent="0.25">
      <c r="A1388" s="9" t="s">
        <v>52</v>
      </c>
      <c r="B1388" s="9" t="s">
        <v>23</v>
      </c>
      <c r="C1388" s="10">
        <v>46020</v>
      </c>
      <c r="D1388" s="10">
        <v>46020</v>
      </c>
      <c r="E1388" s="9" t="s">
        <v>1882</v>
      </c>
      <c r="F1388" s="9" t="s">
        <v>32</v>
      </c>
      <c r="G1388" s="9" t="s">
        <v>186</v>
      </c>
      <c r="H1388" s="11">
        <v>3642.55</v>
      </c>
      <c r="I1388" s="11">
        <v>3642.55</v>
      </c>
      <c r="J1388" s="11">
        <v>0</v>
      </c>
      <c r="K1388">
        <v>1</v>
      </c>
    </row>
    <row r="1389" spans="1:11" x14ac:dyDescent="0.25">
      <c r="A1389" s="9" t="s">
        <v>52</v>
      </c>
      <c r="B1389" s="9" t="s">
        <v>23</v>
      </c>
      <c r="C1389" s="10">
        <v>46020</v>
      </c>
      <c r="D1389" s="10">
        <v>46020</v>
      </c>
      <c r="E1389" s="9" t="s">
        <v>1883</v>
      </c>
      <c r="F1389" s="9" t="s">
        <v>32</v>
      </c>
      <c r="G1389" s="9" t="s">
        <v>330</v>
      </c>
      <c r="H1389" s="11">
        <v>2781.12</v>
      </c>
      <c r="I1389" s="11">
        <v>2781.12</v>
      </c>
      <c r="J1389" s="11">
        <v>0</v>
      </c>
      <c r="K1389">
        <v>1</v>
      </c>
    </row>
    <row r="1390" spans="1:11" x14ac:dyDescent="0.25">
      <c r="A1390" s="9" t="s">
        <v>52</v>
      </c>
      <c r="B1390" s="9" t="s">
        <v>23</v>
      </c>
      <c r="C1390" s="10">
        <v>46020</v>
      </c>
      <c r="D1390" s="10">
        <v>46020</v>
      </c>
      <c r="E1390" s="9" t="s">
        <v>1884</v>
      </c>
      <c r="F1390" s="9" t="s">
        <v>32</v>
      </c>
      <c r="G1390" s="9" t="s">
        <v>942</v>
      </c>
      <c r="H1390" s="11">
        <v>2992.72</v>
      </c>
      <c r="I1390" s="11">
        <v>2992.72</v>
      </c>
      <c r="J1390" s="11">
        <v>0</v>
      </c>
      <c r="K1390">
        <v>1</v>
      </c>
    </row>
    <row r="1391" spans="1:11" x14ac:dyDescent="0.25">
      <c r="A1391" s="9" t="s">
        <v>52</v>
      </c>
      <c r="B1391" s="9" t="s">
        <v>23</v>
      </c>
      <c r="C1391" s="10">
        <v>46020</v>
      </c>
      <c r="D1391" s="10">
        <v>46020</v>
      </c>
      <c r="E1391" s="9" t="s">
        <v>1885</v>
      </c>
      <c r="F1391" s="9" t="s">
        <v>32</v>
      </c>
      <c r="G1391" s="9" t="s">
        <v>1732</v>
      </c>
      <c r="H1391" s="11">
        <v>5435.95</v>
      </c>
      <c r="I1391" s="11">
        <v>5435.95</v>
      </c>
      <c r="J1391" s="11">
        <v>0</v>
      </c>
      <c r="K1391">
        <v>1</v>
      </c>
    </row>
    <row r="1392" spans="1:11" x14ac:dyDescent="0.25">
      <c r="A1392" s="9" t="s">
        <v>52</v>
      </c>
      <c r="B1392" s="9" t="s">
        <v>23</v>
      </c>
      <c r="C1392" s="10">
        <v>46020</v>
      </c>
      <c r="D1392" s="10">
        <v>46020</v>
      </c>
      <c r="E1392" s="9" t="s">
        <v>1886</v>
      </c>
      <c r="F1392" s="9" t="s">
        <v>32</v>
      </c>
      <c r="G1392" s="9" t="s">
        <v>1132</v>
      </c>
      <c r="H1392" s="11">
        <v>3140.61</v>
      </c>
      <c r="I1392" s="11">
        <v>3140.61</v>
      </c>
      <c r="J1392" s="11">
        <v>0</v>
      </c>
      <c r="K1392">
        <v>1</v>
      </c>
    </row>
    <row r="1393" spans="1:11" x14ac:dyDescent="0.25">
      <c r="A1393" s="9" t="s">
        <v>52</v>
      </c>
      <c r="B1393" s="9" t="s">
        <v>23</v>
      </c>
      <c r="C1393" s="10">
        <v>46020</v>
      </c>
      <c r="D1393" s="10">
        <v>46020</v>
      </c>
      <c r="E1393" s="9" t="s">
        <v>1887</v>
      </c>
      <c r="F1393" s="9" t="s">
        <v>32</v>
      </c>
      <c r="G1393" s="9" t="s">
        <v>192</v>
      </c>
      <c r="H1393" s="11">
        <v>2060.39</v>
      </c>
      <c r="I1393" s="11">
        <v>2060.39</v>
      </c>
      <c r="J1393" s="11">
        <v>0</v>
      </c>
      <c r="K1393">
        <v>1</v>
      </c>
    </row>
    <row r="1394" spans="1:11" x14ac:dyDescent="0.25">
      <c r="A1394" s="9" t="s">
        <v>52</v>
      </c>
      <c r="B1394" s="9" t="s">
        <v>23</v>
      </c>
      <c r="C1394" s="10">
        <v>46020</v>
      </c>
      <c r="D1394" s="10">
        <v>46020</v>
      </c>
      <c r="E1394" s="9" t="s">
        <v>1888</v>
      </c>
      <c r="F1394" s="9" t="s">
        <v>32</v>
      </c>
      <c r="G1394" s="9" t="s">
        <v>1400</v>
      </c>
      <c r="H1394" s="11">
        <v>811.31</v>
      </c>
      <c r="I1394" s="11">
        <v>811.31</v>
      </c>
      <c r="J1394" s="11">
        <v>0</v>
      </c>
      <c r="K1394">
        <v>1</v>
      </c>
    </row>
    <row r="1395" spans="1:11" x14ac:dyDescent="0.25">
      <c r="A1395" s="9" t="s">
        <v>52</v>
      </c>
      <c r="B1395" s="9" t="s">
        <v>23</v>
      </c>
      <c r="C1395" s="10">
        <v>46020</v>
      </c>
      <c r="D1395" s="10">
        <v>46020</v>
      </c>
      <c r="E1395" s="9" t="s">
        <v>1889</v>
      </c>
      <c r="F1395" s="9" t="s">
        <v>32</v>
      </c>
      <c r="G1395" s="9" t="s">
        <v>133</v>
      </c>
      <c r="H1395" s="11">
        <v>3862.7</v>
      </c>
      <c r="I1395" s="11">
        <v>3862.7</v>
      </c>
      <c r="J1395" s="11">
        <v>0</v>
      </c>
      <c r="K1395">
        <v>1</v>
      </c>
    </row>
    <row r="1396" spans="1:11" x14ac:dyDescent="0.25">
      <c r="A1396" s="9" t="s">
        <v>52</v>
      </c>
      <c r="B1396" s="9" t="s">
        <v>23</v>
      </c>
      <c r="C1396" s="10">
        <v>46020</v>
      </c>
      <c r="D1396" s="10">
        <v>46020</v>
      </c>
      <c r="E1396" s="9" t="s">
        <v>1890</v>
      </c>
      <c r="F1396" s="9" t="s">
        <v>32</v>
      </c>
      <c r="G1396" s="9" t="s">
        <v>377</v>
      </c>
      <c r="H1396" s="11">
        <v>703.61</v>
      </c>
      <c r="I1396" s="11">
        <v>703.61</v>
      </c>
      <c r="J1396" s="11">
        <v>0</v>
      </c>
      <c r="K1396">
        <v>1</v>
      </c>
    </row>
    <row r="1397" spans="1:11" x14ac:dyDescent="0.25">
      <c r="A1397" s="9" t="s">
        <v>52</v>
      </c>
      <c r="B1397" s="9" t="s">
        <v>23</v>
      </c>
      <c r="C1397" s="10">
        <v>46020</v>
      </c>
      <c r="D1397" s="10">
        <v>46020</v>
      </c>
      <c r="E1397" s="9" t="s">
        <v>1891</v>
      </c>
      <c r="F1397" s="9" t="s">
        <v>32</v>
      </c>
      <c r="G1397" s="9" t="s">
        <v>679</v>
      </c>
      <c r="H1397" s="11">
        <v>3634.61</v>
      </c>
      <c r="I1397" s="11">
        <v>3634.61</v>
      </c>
      <c r="J1397" s="11">
        <v>0</v>
      </c>
      <c r="K1397">
        <v>1</v>
      </c>
    </row>
    <row r="1398" spans="1:11" x14ac:dyDescent="0.25">
      <c r="A1398" s="9" t="s">
        <v>52</v>
      </c>
      <c r="B1398" s="9" t="s">
        <v>23</v>
      </c>
      <c r="C1398" s="10">
        <v>46020</v>
      </c>
      <c r="D1398" s="10">
        <v>46020</v>
      </c>
      <c r="E1398" s="9" t="s">
        <v>1892</v>
      </c>
      <c r="F1398" s="9" t="s">
        <v>32</v>
      </c>
      <c r="G1398" s="9" t="s">
        <v>256</v>
      </c>
      <c r="H1398" s="11">
        <v>8988.32</v>
      </c>
      <c r="I1398" s="11">
        <v>8988.32</v>
      </c>
      <c r="J1398" s="11">
        <v>0</v>
      </c>
      <c r="K1398">
        <v>1</v>
      </c>
    </row>
    <row r="1399" spans="1:11" x14ac:dyDescent="0.25">
      <c r="A1399" s="9" t="s">
        <v>52</v>
      </c>
      <c r="B1399" s="9" t="s">
        <v>23</v>
      </c>
      <c r="C1399" s="10">
        <v>46020</v>
      </c>
      <c r="D1399" s="10">
        <v>46020</v>
      </c>
      <c r="E1399" s="9" t="s">
        <v>1893</v>
      </c>
      <c r="F1399" s="9" t="s">
        <v>32</v>
      </c>
      <c r="G1399" s="9" t="s">
        <v>116</v>
      </c>
      <c r="H1399" s="11">
        <v>7715.65</v>
      </c>
      <c r="I1399" s="11">
        <v>7715.65</v>
      </c>
      <c r="J1399" s="11">
        <v>0</v>
      </c>
      <c r="K1399">
        <v>1</v>
      </c>
    </row>
    <row r="1400" spans="1:11" x14ac:dyDescent="0.25">
      <c r="A1400" s="9" t="s">
        <v>52</v>
      </c>
      <c r="B1400" s="9" t="s">
        <v>23</v>
      </c>
      <c r="C1400" s="10">
        <v>46020</v>
      </c>
      <c r="D1400" s="10">
        <v>46020</v>
      </c>
      <c r="E1400" s="9" t="s">
        <v>1894</v>
      </c>
      <c r="F1400" s="9" t="s">
        <v>141</v>
      </c>
      <c r="G1400" s="9" t="s">
        <v>1895</v>
      </c>
      <c r="H1400" s="11">
        <v>-10888.71</v>
      </c>
      <c r="I1400" s="11">
        <v>-10888.71</v>
      </c>
      <c r="J1400" s="11">
        <v>0</v>
      </c>
      <c r="K1400">
        <v>1</v>
      </c>
    </row>
    <row r="1401" spans="1:11" x14ac:dyDescent="0.25">
      <c r="A1401" s="9" t="s">
        <v>52</v>
      </c>
      <c r="B1401" s="9" t="s">
        <v>23</v>
      </c>
      <c r="C1401" s="10">
        <v>46020</v>
      </c>
      <c r="D1401" s="10">
        <v>46020</v>
      </c>
      <c r="E1401" s="9" t="s">
        <v>1896</v>
      </c>
      <c r="F1401" s="9" t="s">
        <v>141</v>
      </c>
      <c r="G1401" s="9" t="s">
        <v>1897</v>
      </c>
      <c r="H1401" s="11">
        <v>-13869.37</v>
      </c>
      <c r="I1401" s="11">
        <v>-13869.37</v>
      </c>
      <c r="J1401" s="11">
        <v>0</v>
      </c>
      <c r="K1401">
        <v>1</v>
      </c>
    </row>
    <row r="1402" spans="1:11" x14ac:dyDescent="0.25">
      <c r="A1402" s="9" t="s">
        <v>52</v>
      </c>
      <c r="B1402" s="9" t="s">
        <v>23</v>
      </c>
      <c r="C1402" s="10">
        <v>46020</v>
      </c>
      <c r="D1402" s="10">
        <v>46020</v>
      </c>
      <c r="E1402" s="9" t="s">
        <v>1898</v>
      </c>
      <c r="F1402" s="9" t="s">
        <v>141</v>
      </c>
      <c r="G1402" s="9" t="s">
        <v>1899</v>
      </c>
      <c r="H1402" s="11">
        <v>-16702.349999999999</v>
      </c>
      <c r="I1402" s="11">
        <v>-16702.349999999999</v>
      </c>
      <c r="J1402" s="11">
        <v>0</v>
      </c>
      <c r="K1402">
        <v>1</v>
      </c>
    </row>
    <row r="1403" spans="1:11" x14ac:dyDescent="0.25">
      <c r="A1403" s="9" t="s">
        <v>52</v>
      </c>
      <c r="B1403" s="9" t="s">
        <v>23</v>
      </c>
      <c r="C1403" s="10">
        <v>46020</v>
      </c>
      <c r="D1403" s="10">
        <v>46020</v>
      </c>
      <c r="E1403" s="9" t="s">
        <v>1900</v>
      </c>
      <c r="F1403" s="9" t="s">
        <v>32</v>
      </c>
      <c r="G1403" s="9" t="s">
        <v>86</v>
      </c>
      <c r="H1403" s="11">
        <v>1974.03</v>
      </c>
      <c r="I1403" s="11">
        <v>1974.03</v>
      </c>
      <c r="J1403" s="11">
        <v>0</v>
      </c>
      <c r="K1403">
        <v>1</v>
      </c>
    </row>
    <row r="1404" spans="1:11" x14ac:dyDescent="0.25">
      <c r="A1404" s="9" t="s">
        <v>52</v>
      </c>
      <c r="B1404" s="9" t="s">
        <v>23</v>
      </c>
      <c r="C1404" s="10">
        <v>46020</v>
      </c>
      <c r="D1404" s="10">
        <v>46020</v>
      </c>
      <c r="E1404" s="9" t="s">
        <v>1901</v>
      </c>
      <c r="F1404" s="9" t="s">
        <v>32</v>
      </c>
      <c r="G1404" s="9" t="s">
        <v>190</v>
      </c>
      <c r="H1404" s="11">
        <v>1924.68</v>
      </c>
      <c r="I1404" s="11">
        <v>1924.68</v>
      </c>
      <c r="J1404" s="11">
        <v>0</v>
      </c>
      <c r="K1404">
        <v>1</v>
      </c>
    </row>
    <row r="1405" spans="1:11" x14ac:dyDescent="0.25">
      <c r="A1405" s="9" t="s">
        <v>52</v>
      </c>
      <c r="B1405" s="9" t="s">
        <v>23</v>
      </c>
      <c r="C1405" s="10">
        <v>46020</v>
      </c>
      <c r="D1405" s="10">
        <v>46020</v>
      </c>
      <c r="E1405" s="9" t="s">
        <v>1902</v>
      </c>
      <c r="F1405" s="9" t="s">
        <v>141</v>
      </c>
      <c r="G1405" s="9" t="s">
        <v>1903</v>
      </c>
      <c r="H1405" s="11">
        <v>-18061.47</v>
      </c>
      <c r="I1405" s="11">
        <v>-18061.47</v>
      </c>
      <c r="J1405" s="11">
        <v>0</v>
      </c>
      <c r="K1405">
        <v>1</v>
      </c>
    </row>
    <row r="1406" spans="1:11" x14ac:dyDescent="0.25">
      <c r="A1406" s="9" t="s">
        <v>52</v>
      </c>
      <c r="B1406" s="9" t="s">
        <v>23</v>
      </c>
      <c r="C1406" s="10">
        <v>46020</v>
      </c>
      <c r="D1406" s="10">
        <v>46020</v>
      </c>
      <c r="E1406" s="9" t="s">
        <v>1904</v>
      </c>
      <c r="F1406" s="9" t="s">
        <v>32</v>
      </c>
      <c r="G1406" s="9" t="s">
        <v>33</v>
      </c>
      <c r="H1406" s="11">
        <v>7798.97</v>
      </c>
      <c r="I1406" s="11">
        <v>7798.97</v>
      </c>
      <c r="J1406" s="11">
        <v>0</v>
      </c>
      <c r="K1406">
        <v>1</v>
      </c>
    </row>
    <row r="1407" spans="1:11" x14ac:dyDescent="0.25">
      <c r="A1407" s="9" t="s">
        <v>52</v>
      </c>
      <c r="B1407" s="9" t="s">
        <v>23</v>
      </c>
      <c r="C1407" s="10">
        <v>46020</v>
      </c>
      <c r="D1407" s="10">
        <v>46020</v>
      </c>
      <c r="E1407" s="9" t="s">
        <v>1905</v>
      </c>
      <c r="F1407" s="9" t="s">
        <v>32</v>
      </c>
      <c r="G1407" s="9" t="s">
        <v>1906</v>
      </c>
      <c r="H1407" s="11">
        <v>3770.28</v>
      </c>
      <c r="I1407" s="11">
        <v>3770.28</v>
      </c>
      <c r="J1407" s="11">
        <v>0</v>
      </c>
      <c r="K1407">
        <v>1</v>
      </c>
    </row>
    <row r="1408" spans="1:11" x14ac:dyDescent="0.25">
      <c r="A1408" s="9" t="s">
        <v>52</v>
      </c>
      <c r="B1408" s="9" t="s">
        <v>23</v>
      </c>
      <c r="C1408" s="10">
        <v>46020</v>
      </c>
      <c r="D1408" s="10">
        <v>46020</v>
      </c>
      <c r="E1408" s="9" t="s">
        <v>1907</v>
      </c>
      <c r="F1408" s="9" t="s">
        <v>32</v>
      </c>
      <c r="G1408" s="9" t="s">
        <v>400</v>
      </c>
      <c r="H1408" s="11">
        <v>2319.33</v>
      </c>
      <c r="I1408" s="11">
        <v>2319.33</v>
      </c>
      <c r="J1408" s="11">
        <v>0</v>
      </c>
      <c r="K1408">
        <v>1</v>
      </c>
    </row>
    <row r="1409" spans="1:11" x14ac:dyDescent="0.25">
      <c r="A1409" s="9" t="s">
        <v>52</v>
      </c>
      <c r="B1409" s="9" t="s">
        <v>23</v>
      </c>
      <c r="C1409" s="10">
        <v>46020</v>
      </c>
      <c r="D1409" s="10">
        <v>46020</v>
      </c>
      <c r="E1409" s="9" t="s">
        <v>1908</v>
      </c>
      <c r="F1409" s="9" t="s">
        <v>32</v>
      </c>
      <c r="G1409" s="9" t="s">
        <v>198</v>
      </c>
      <c r="H1409" s="11">
        <v>1089.52</v>
      </c>
      <c r="I1409" s="11">
        <v>1089.52</v>
      </c>
      <c r="J1409" s="11">
        <v>0</v>
      </c>
      <c r="K1409">
        <v>1</v>
      </c>
    </row>
    <row r="1410" spans="1:11" x14ac:dyDescent="0.25">
      <c r="A1410" s="9" t="s">
        <v>52</v>
      </c>
      <c r="B1410" s="9" t="s">
        <v>23</v>
      </c>
      <c r="C1410" s="10">
        <v>46020</v>
      </c>
      <c r="D1410" s="10">
        <v>46020</v>
      </c>
      <c r="E1410" s="9" t="s">
        <v>1909</v>
      </c>
      <c r="F1410" s="9" t="s">
        <v>32</v>
      </c>
      <c r="G1410" s="9" t="s">
        <v>741</v>
      </c>
      <c r="H1410" s="11">
        <v>2316.2600000000002</v>
      </c>
      <c r="I1410" s="11">
        <v>2316.2600000000002</v>
      </c>
      <c r="J1410" s="11">
        <v>0</v>
      </c>
      <c r="K1410">
        <v>1</v>
      </c>
    </row>
    <row r="1411" spans="1:11" x14ac:dyDescent="0.25">
      <c r="A1411" s="9" t="s">
        <v>52</v>
      </c>
      <c r="B1411" s="9" t="s">
        <v>23</v>
      </c>
      <c r="C1411" s="10">
        <v>46020</v>
      </c>
      <c r="D1411" s="10">
        <v>46020</v>
      </c>
      <c r="E1411" s="9" t="s">
        <v>1910</v>
      </c>
      <c r="F1411" s="9" t="s">
        <v>32</v>
      </c>
      <c r="G1411" s="9" t="s">
        <v>208</v>
      </c>
      <c r="H1411" s="11">
        <v>2508.8200000000002</v>
      </c>
      <c r="I1411" s="11">
        <v>2508.8200000000002</v>
      </c>
      <c r="J1411" s="11">
        <v>0</v>
      </c>
      <c r="K1411">
        <v>1</v>
      </c>
    </row>
    <row r="1412" spans="1:11" x14ac:dyDescent="0.25">
      <c r="A1412" s="9" t="s">
        <v>52</v>
      </c>
      <c r="B1412" s="9" t="s">
        <v>23</v>
      </c>
      <c r="C1412" s="10">
        <v>46020</v>
      </c>
      <c r="D1412" s="10">
        <v>46020</v>
      </c>
      <c r="E1412" s="9" t="s">
        <v>1911</v>
      </c>
      <c r="F1412" s="9" t="s">
        <v>32</v>
      </c>
      <c r="G1412" s="9" t="s">
        <v>753</v>
      </c>
      <c r="H1412" s="11">
        <v>2355.2399999999998</v>
      </c>
      <c r="I1412" s="11">
        <v>2355.2399999999998</v>
      </c>
      <c r="J1412" s="11">
        <v>0</v>
      </c>
      <c r="K1412">
        <v>1</v>
      </c>
    </row>
    <row r="1413" spans="1:11" x14ac:dyDescent="0.25">
      <c r="A1413" s="9" t="s">
        <v>52</v>
      </c>
      <c r="B1413" s="9" t="s">
        <v>23</v>
      </c>
      <c r="C1413" s="10">
        <v>46020</v>
      </c>
      <c r="D1413" s="10">
        <v>46020</v>
      </c>
      <c r="E1413" s="9" t="s">
        <v>1912</v>
      </c>
      <c r="F1413" s="9" t="s">
        <v>32</v>
      </c>
      <c r="G1413" s="9" t="s">
        <v>112</v>
      </c>
      <c r="H1413" s="11">
        <v>2236.36</v>
      </c>
      <c r="I1413" s="11">
        <v>2236.36</v>
      </c>
      <c r="J1413" s="11">
        <v>0</v>
      </c>
      <c r="K1413">
        <v>1</v>
      </c>
    </row>
    <row r="1414" spans="1:11" x14ac:dyDescent="0.25">
      <c r="A1414" s="9" t="s">
        <v>52</v>
      </c>
      <c r="B1414" s="9" t="s">
        <v>23</v>
      </c>
      <c r="C1414" s="10">
        <v>46020</v>
      </c>
      <c r="D1414" s="10">
        <v>46020</v>
      </c>
      <c r="E1414" s="9" t="s">
        <v>1913</v>
      </c>
      <c r="F1414" s="9" t="s">
        <v>32</v>
      </c>
      <c r="G1414" s="9" t="s">
        <v>644</v>
      </c>
      <c r="H1414" s="11">
        <v>2362.6</v>
      </c>
      <c r="I1414" s="11">
        <v>2362.6</v>
      </c>
      <c r="J1414" s="11">
        <v>0</v>
      </c>
      <c r="K1414">
        <v>1</v>
      </c>
    </row>
    <row r="1415" spans="1:11" x14ac:dyDescent="0.25">
      <c r="A1415" s="9" t="s">
        <v>52</v>
      </c>
      <c r="B1415" s="9" t="s">
        <v>23</v>
      </c>
      <c r="C1415" s="10">
        <v>46020</v>
      </c>
      <c r="D1415" s="10">
        <v>46020</v>
      </c>
      <c r="E1415" s="9" t="s">
        <v>1914</v>
      </c>
      <c r="F1415" s="9" t="s">
        <v>32</v>
      </c>
      <c r="G1415" s="9" t="s">
        <v>831</v>
      </c>
      <c r="H1415" s="11">
        <v>8581.83</v>
      </c>
      <c r="I1415" s="11">
        <v>8581.83</v>
      </c>
      <c r="J1415" s="11">
        <v>0</v>
      </c>
      <c r="K1415">
        <v>1</v>
      </c>
    </row>
    <row r="1416" spans="1:11" x14ac:dyDescent="0.25">
      <c r="A1416" s="9" t="s">
        <v>52</v>
      </c>
      <c r="B1416" s="9" t="s">
        <v>23</v>
      </c>
      <c r="C1416" s="10">
        <v>46020</v>
      </c>
      <c r="D1416" s="10">
        <v>46020</v>
      </c>
      <c r="E1416" s="9" t="s">
        <v>1915</v>
      </c>
      <c r="F1416" s="9" t="s">
        <v>32</v>
      </c>
      <c r="G1416" s="9" t="s">
        <v>479</v>
      </c>
      <c r="H1416" s="11">
        <v>675.63</v>
      </c>
      <c r="I1416" s="11">
        <v>675.63</v>
      </c>
      <c r="J1416" s="11">
        <v>0</v>
      </c>
      <c r="K1416">
        <v>1</v>
      </c>
    </row>
    <row r="1417" spans="1:11" x14ac:dyDescent="0.25">
      <c r="A1417" s="9" t="s">
        <v>52</v>
      </c>
      <c r="B1417" s="9" t="s">
        <v>23</v>
      </c>
      <c r="C1417" s="10">
        <v>46020</v>
      </c>
      <c r="D1417" s="10">
        <v>46020</v>
      </c>
      <c r="E1417" s="9" t="s">
        <v>1916</v>
      </c>
      <c r="F1417" s="9" t="s">
        <v>32</v>
      </c>
      <c r="G1417" s="9" t="s">
        <v>498</v>
      </c>
      <c r="H1417" s="11">
        <v>1753.17</v>
      </c>
      <c r="I1417" s="11">
        <v>1753.17</v>
      </c>
      <c r="J1417" s="11">
        <v>0</v>
      </c>
      <c r="K1417">
        <v>1</v>
      </c>
    </row>
    <row r="1418" spans="1:11" x14ac:dyDescent="0.25">
      <c r="A1418" s="9" t="s">
        <v>52</v>
      </c>
      <c r="B1418" s="9" t="s">
        <v>23</v>
      </c>
      <c r="C1418" s="10">
        <v>46020</v>
      </c>
      <c r="D1418" s="10">
        <v>46020</v>
      </c>
      <c r="E1418" s="9" t="s">
        <v>1917</v>
      </c>
      <c r="F1418" s="9" t="s">
        <v>32</v>
      </c>
      <c r="G1418" s="9" t="s">
        <v>70</v>
      </c>
      <c r="H1418" s="11">
        <v>2512.17</v>
      </c>
      <c r="I1418" s="11">
        <v>2512.17</v>
      </c>
      <c r="J1418" s="11">
        <v>0</v>
      </c>
      <c r="K1418">
        <v>1</v>
      </c>
    </row>
    <row r="1419" spans="1:11" x14ac:dyDescent="0.25">
      <c r="A1419" s="9" t="s">
        <v>52</v>
      </c>
      <c r="B1419" s="9" t="s">
        <v>23</v>
      </c>
      <c r="C1419" s="10">
        <v>46020</v>
      </c>
      <c r="D1419" s="10">
        <v>46020</v>
      </c>
      <c r="E1419" s="9" t="s">
        <v>1918</v>
      </c>
      <c r="F1419" s="9" t="s">
        <v>32</v>
      </c>
      <c r="G1419" s="9" t="s">
        <v>316</v>
      </c>
      <c r="H1419" s="11">
        <v>399.36</v>
      </c>
      <c r="I1419" s="11">
        <v>399.36</v>
      </c>
      <c r="J1419" s="11">
        <v>0</v>
      </c>
      <c r="K1419">
        <v>1</v>
      </c>
    </row>
    <row r="1420" spans="1:11" x14ac:dyDescent="0.25">
      <c r="A1420" s="9" t="s">
        <v>52</v>
      </c>
      <c r="B1420" s="9" t="s">
        <v>23</v>
      </c>
      <c r="C1420" s="10">
        <v>46020</v>
      </c>
      <c r="D1420" s="10">
        <v>46020</v>
      </c>
      <c r="E1420" s="9" t="s">
        <v>1919</v>
      </c>
      <c r="F1420" s="9" t="s">
        <v>32</v>
      </c>
      <c r="G1420" s="9" t="s">
        <v>252</v>
      </c>
      <c r="H1420" s="11">
        <v>12646.52</v>
      </c>
      <c r="I1420" s="11">
        <v>12646.52</v>
      </c>
      <c r="J1420" s="11">
        <v>0</v>
      </c>
      <c r="K1420">
        <v>1</v>
      </c>
    </row>
    <row r="1421" spans="1:11" x14ac:dyDescent="0.25">
      <c r="A1421" s="9" t="s">
        <v>52</v>
      </c>
      <c r="B1421" s="9" t="s">
        <v>23</v>
      </c>
      <c r="C1421" s="10">
        <v>46020</v>
      </c>
      <c r="D1421" s="10">
        <v>46020</v>
      </c>
      <c r="E1421" s="9" t="s">
        <v>1920</v>
      </c>
      <c r="F1421" s="9" t="s">
        <v>32</v>
      </c>
      <c r="G1421" s="9" t="s">
        <v>367</v>
      </c>
      <c r="H1421" s="11">
        <v>2153.84</v>
      </c>
      <c r="I1421" s="11">
        <v>2153.84</v>
      </c>
      <c r="J1421" s="11">
        <v>0</v>
      </c>
      <c r="K1421">
        <v>1</v>
      </c>
    </row>
    <row r="1422" spans="1:11" x14ac:dyDescent="0.25">
      <c r="A1422" s="9" t="s">
        <v>52</v>
      </c>
      <c r="B1422" s="9" t="s">
        <v>23</v>
      </c>
      <c r="C1422" s="10">
        <v>46020</v>
      </c>
      <c r="D1422" s="10">
        <v>46020</v>
      </c>
      <c r="E1422" s="9" t="s">
        <v>1921</v>
      </c>
      <c r="F1422" s="9" t="s">
        <v>32</v>
      </c>
      <c r="G1422" s="9" t="s">
        <v>33</v>
      </c>
      <c r="H1422" s="11">
        <v>18779.09</v>
      </c>
      <c r="I1422" s="11">
        <v>18779.09</v>
      </c>
      <c r="J1422" s="11">
        <v>0</v>
      </c>
      <c r="K1422">
        <v>1</v>
      </c>
    </row>
    <row r="1423" spans="1:11" x14ac:dyDescent="0.25">
      <c r="A1423" s="9" t="s">
        <v>52</v>
      </c>
      <c r="B1423" s="9" t="s">
        <v>23</v>
      </c>
      <c r="C1423" s="10">
        <v>46020</v>
      </c>
      <c r="D1423" s="10">
        <v>46020</v>
      </c>
      <c r="E1423" s="9" t="s">
        <v>1922</v>
      </c>
      <c r="F1423" s="9" t="s">
        <v>32</v>
      </c>
      <c r="G1423" s="9" t="s">
        <v>245</v>
      </c>
      <c r="H1423" s="11">
        <v>5709.27</v>
      </c>
      <c r="I1423" s="11">
        <v>5709.27</v>
      </c>
      <c r="J1423" s="11">
        <v>0</v>
      </c>
      <c r="K1423">
        <v>1</v>
      </c>
    </row>
    <row r="1424" spans="1:11" x14ac:dyDescent="0.25">
      <c r="A1424" s="9" t="s">
        <v>52</v>
      </c>
      <c r="B1424" s="9" t="s">
        <v>23</v>
      </c>
      <c r="C1424" s="10">
        <v>46020</v>
      </c>
      <c r="D1424" s="10">
        <v>46020</v>
      </c>
      <c r="E1424" s="9" t="s">
        <v>1923</v>
      </c>
      <c r="F1424" s="9" t="s">
        <v>32</v>
      </c>
      <c r="G1424" s="9" t="s">
        <v>266</v>
      </c>
      <c r="H1424" s="11">
        <v>23790.36</v>
      </c>
      <c r="I1424" s="11">
        <v>23790.36</v>
      </c>
      <c r="J1424" s="11">
        <v>0</v>
      </c>
      <c r="K1424">
        <v>1</v>
      </c>
    </row>
    <row r="1425" spans="1:11" x14ac:dyDescent="0.25">
      <c r="A1425" s="9" t="s">
        <v>52</v>
      </c>
      <c r="B1425" s="9" t="s">
        <v>23</v>
      </c>
      <c r="C1425" s="10">
        <v>46020</v>
      </c>
      <c r="D1425" s="10">
        <v>46020</v>
      </c>
      <c r="E1425" s="9" t="s">
        <v>1924</v>
      </c>
      <c r="F1425" s="9" t="s">
        <v>32</v>
      </c>
      <c r="G1425" s="9" t="s">
        <v>247</v>
      </c>
      <c r="H1425" s="11">
        <v>9660.09</v>
      </c>
      <c r="I1425" s="11">
        <v>9660.09</v>
      </c>
      <c r="J1425" s="11">
        <v>0</v>
      </c>
      <c r="K1425">
        <v>1</v>
      </c>
    </row>
    <row r="1426" spans="1:11" x14ac:dyDescent="0.25">
      <c r="A1426" s="9" t="s">
        <v>52</v>
      </c>
      <c r="B1426" s="9" t="s">
        <v>23</v>
      </c>
      <c r="C1426" s="10">
        <v>46020</v>
      </c>
      <c r="D1426" s="10">
        <v>46020</v>
      </c>
      <c r="E1426" s="9" t="s">
        <v>1925</v>
      </c>
      <c r="F1426" s="9" t="s">
        <v>32</v>
      </c>
      <c r="G1426" s="9" t="s">
        <v>54</v>
      </c>
      <c r="H1426" s="11">
        <v>7358.92</v>
      </c>
      <c r="I1426" s="11">
        <v>7358.92</v>
      </c>
      <c r="J1426" s="11">
        <v>0</v>
      </c>
      <c r="K1426">
        <v>1</v>
      </c>
    </row>
    <row r="1427" spans="1:11" x14ac:dyDescent="0.25">
      <c r="A1427" s="9" t="s">
        <v>52</v>
      </c>
      <c r="B1427" s="9" t="s">
        <v>23</v>
      </c>
      <c r="C1427" s="10">
        <v>46020</v>
      </c>
      <c r="D1427" s="10">
        <v>46020</v>
      </c>
      <c r="E1427" s="9" t="s">
        <v>1926</v>
      </c>
      <c r="F1427" s="9" t="s">
        <v>32</v>
      </c>
      <c r="G1427" s="9" t="s">
        <v>82</v>
      </c>
      <c r="H1427" s="11">
        <v>2275.5500000000002</v>
      </c>
      <c r="I1427" s="11">
        <v>2275.5500000000002</v>
      </c>
      <c r="J1427" s="11">
        <v>0</v>
      </c>
      <c r="K1427">
        <v>1</v>
      </c>
    </row>
    <row r="1428" spans="1:11" x14ac:dyDescent="0.25">
      <c r="A1428" s="9" t="s">
        <v>52</v>
      </c>
      <c r="B1428" s="9" t="s">
        <v>23</v>
      </c>
      <c r="C1428" s="10">
        <v>46020</v>
      </c>
      <c r="D1428" s="10">
        <v>46020</v>
      </c>
      <c r="E1428" s="9" t="s">
        <v>1927</v>
      </c>
      <c r="F1428" s="9" t="s">
        <v>32</v>
      </c>
      <c r="G1428" s="9" t="s">
        <v>450</v>
      </c>
      <c r="H1428" s="11">
        <v>14417.79</v>
      </c>
      <c r="I1428" s="11">
        <v>14417.79</v>
      </c>
      <c r="J1428" s="11">
        <v>0</v>
      </c>
      <c r="K1428">
        <v>1</v>
      </c>
    </row>
    <row r="1429" spans="1:11" x14ac:dyDescent="0.25">
      <c r="A1429" s="9" t="s">
        <v>52</v>
      </c>
      <c r="B1429" s="9" t="s">
        <v>23</v>
      </c>
      <c r="C1429" s="10">
        <v>46020</v>
      </c>
      <c r="D1429" s="10">
        <v>46020</v>
      </c>
      <c r="E1429" s="9" t="s">
        <v>1928</v>
      </c>
      <c r="F1429" s="9" t="s">
        <v>32</v>
      </c>
      <c r="G1429" s="9" t="s">
        <v>309</v>
      </c>
      <c r="H1429" s="11">
        <v>4004.95</v>
      </c>
      <c r="I1429" s="11">
        <v>4004.95</v>
      </c>
      <c r="J1429" s="11">
        <v>0</v>
      </c>
      <c r="K1429">
        <v>1</v>
      </c>
    </row>
    <row r="1430" spans="1:11" x14ac:dyDescent="0.25">
      <c r="A1430" s="9" t="s">
        <v>52</v>
      </c>
      <c r="B1430" s="9" t="s">
        <v>23</v>
      </c>
      <c r="C1430" s="10">
        <v>46020</v>
      </c>
      <c r="D1430" s="10">
        <v>46020</v>
      </c>
      <c r="E1430" s="9" t="s">
        <v>1929</v>
      </c>
      <c r="F1430" s="9" t="s">
        <v>32</v>
      </c>
      <c r="G1430" s="9" t="s">
        <v>314</v>
      </c>
      <c r="H1430" s="11">
        <v>11429.28</v>
      </c>
      <c r="I1430" s="11">
        <v>11429.28</v>
      </c>
      <c r="J1430" s="11">
        <v>0</v>
      </c>
      <c r="K1430">
        <v>1</v>
      </c>
    </row>
    <row r="1431" spans="1:11" x14ac:dyDescent="0.25">
      <c r="A1431" s="9" t="s">
        <v>52</v>
      </c>
      <c r="B1431" s="9" t="s">
        <v>23</v>
      </c>
      <c r="C1431" s="10">
        <v>46020</v>
      </c>
      <c r="D1431" s="10">
        <v>46020</v>
      </c>
      <c r="E1431" s="9" t="s">
        <v>1930</v>
      </c>
      <c r="F1431" s="9" t="s">
        <v>32</v>
      </c>
      <c r="G1431" s="9" t="s">
        <v>1931</v>
      </c>
      <c r="H1431" s="11">
        <v>2102.2399999999998</v>
      </c>
      <c r="I1431" s="11">
        <v>2102.2399999999998</v>
      </c>
      <c r="J1431" s="11">
        <v>0</v>
      </c>
      <c r="K1431">
        <v>1</v>
      </c>
    </row>
    <row r="1432" spans="1:11" x14ac:dyDescent="0.25">
      <c r="A1432" s="9" t="s">
        <v>52</v>
      </c>
      <c r="B1432" s="9" t="s">
        <v>23</v>
      </c>
      <c r="C1432" s="10">
        <v>46020</v>
      </c>
      <c r="D1432" s="10">
        <v>46020</v>
      </c>
      <c r="E1432" s="9" t="s">
        <v>1932</v>
      </c>
      <c r="F1432" s="9" t="s">
        <v>32</v>
      </c>
      <c r="G1432" s="9" t="s">
        <v>245</v>
      </c>
      <c r="H1432" s="11">
        <v>2811.57</v>
      </c>
      <c r="I1432" s="11">
        <v>2811.57</v>
      </c>
      <c r="J1432" s="11">
        <v>0</v>
      </c>
      <c r="K1432">
        <v>1</v>
      </c>
    </row>
    <row r="1433" spans="1:11" x14ac:dyDescent="0.25">
      <c r="A1433" s="9" t="s">
        <v>52</v>
      </c>
      <c r="B1433" s="9" t="s">
        <v>23</v>
      </c>
      <c r="C1433" s="10">
        <v>46020</v>
      </c>
      <c r="D1433" s="10">
        <v>46020</v>
      </c>
      <c r="E1433" s="9" t="s">
        <v>1933</v>
      </c>
      <c r="F1433" s="9" t="s">
        <v>32</v>
      </c>
      <c r="G1433" s="9" t="s">
        <v>264</v>
      </c>
      <c r="H1433" s="11">
        <v>15778.49</v>
      </c>
      <c r="I1433" s="11">
        <v>15778.49</v>
      </c>
      <c r="J1433" s="11">
        <v>0</v>
      </c>
      <c r="K1433">
        <v>1</v>
      </c>
    </row>
    <row r="1434" spans="1:11" x14ac:dyDescent="0.25">
      <c r="A1434" s="9" t="s">
        <v>52</v>
      </c>
      <c r="B1434" s="9" t="s">
        <v>23</v>
      </c>
      <c r="C1434" s="10">
        <v>46020</v>
      </c>
      <c r="D1434" s="10">
        <v>46020</v>
      </c>
      <c r="E1434" s="9" t="s">
        <v>1934</v>
      </c>
      <c r="F1434" s="9" t="s">
        <v>32</v>
      </c>
      <c r="G1434" s="9" t="s">
        <v>228</v>
      </c>
      <c r="H1434" s="11">
        <v>10868.85</v>
      </c>
      <c r="I1434" s="11">
        <v>10868.85</v>
      </c>
      <c r="J1434" s="11">
        <v>0</v>
      </c>
      <c r="K1434">
        <v>1</v>
      </c>
    </row>
    <row r="1435" spans="1:11" x14ac:dyDescent="0.25">
      <c r="A1435" s="9" t="s">
        <v>52</v>
      </c>
      <c r="B1435" s="9" t="s">
        <v>23</v>
      </c>
      <c r="C1435" s="10">
        <v>46020</v>
      </c>
      <c r="D1435" s="10">
        <v>46020</v>
      </c>
      <c r="E1435" s="9" t="s">
        <v>1935</v>
      </c>
      <c r="F1435" s="9" t="s">
        <v>32</v>
      </c>
      <c r="G1435" s="9" t="s">
        <v>133</v>
      </c>
      <c r="H1435" s="11">
        <v>3522.05</v>
      </c>
      <c r="I1435" s="11">
        <v>3522.05</v>
      </c>
      <c r="J1435" s="11">
        <v>0</v>
      </c>
      <c r="K1435">
        <v>1</v>
      </c>
    </row>
    <row r="1436" spans="1:11" x14ac:dyDescent="0.25">
      <c r="A1436" s="9" t="s">
        <v>52</v>
      </c>
      <c r="B1436" s="9" t="s">
        <v>23</v>
      </c>
      <c r="C1436" s="10">
        <v>46020</v>
      </c>
      <c r="D1436" s="10">
        <v>46020</v>
      </c>
      <c r="E1436" s="9" t="s">
        <v>1936</v>
      </c>
      <c r="F1436" s="9" t="s">
        <v>32</v>
      </c>
      <c r="G1436" s="9" t="s">
        <v>764</v>
      </c>
      <c r="H1436" s="11">
        <v>9066.34</v>
      </c>
      <c r="I1436" s="11">
        <v>9066.34</v>
      </c>
      <c r="J1436" s="11">
        <v>0</v>
      </c>
      <c r="K1436">
        <v>1</v>
      </c>
    </row>
    <row r="1437" spans="1:11" x14ac:dyDescent="0.25">
      <c r="A1437" s="9" t="s">
        <v>52</v>
      </c>
      <c r="B1437" s="9" t="s">
        <v>23</v>
      </c>
      <c r="C1437" s="10">
        <v>46020</v>
      </c>
      <c r="D1437" s="10">
        <v>46020</v>
      </c>
      <c r="E1437" s="9" t="s">
        <v>1937</v>
      </c>
      <c r="F1437" s="9" t="s">
        <v>32</v>
      </c>
      <c r="G1437" s="9" t="s">
        <v>281</v>
      </c>
      <c r="H1437" s="11">
        <v>14963.57</v>
      </c>
      <c r="I1437" s="11">
        <v>14963.57</v>
      </c>
      <c r="J1437" s="11">
        <v>0</v>
      </c>
      <c r="K1437">
        <v>1</v>
      </c>
    </row>
    <row r="1438" spans="1:11" x14ac:dyDescent="0.25">
      <c r="A1438" s="9" t="s">
        <v>52</v>
      </c>
      <c r="B1438" s="9" t="s">
        <v>23</v>
      </c>
      <c r="C1438" s="10">
        <v>46020</v>
      </c>
      <c r="D1438" s="10">
        <v>46020</v>
      </c>
      <c r="E1438" s="9" t="s">
        <v>1938</v>
      </c>
      <c r="F1438" s="9" t="s">
        <v>32</v>
      </c>
      <c r="G1438" s="9" t="s">
        <v>520</v>
      </c>
      <c r="H1438" s="11">
        <v>947.04</v>
      </c>
      <c r="I1438" s="11">
        <v>947.04</v>
      </c>
      <c r="J1438" s="11">
        <v>0</v>
      </c>
      <c r="K1438">
        <v>1</v>
      </c>
    </row>
    <row r="1439" spans="1:11" x14ac:dyDescent="0.25">
      <c r="A1439" s="9" t="s">
        <v>52</v>
      </c>
      <c r="B1439" s="9" t="s">
        <v>23</v>
      </c>
      <c r="C1439" s="10">
        <v>46020</v>
      </c>
      <c r="D1439" s="10">
        <v>46020</v>
      </c>
      <c r="E1439" s="9" t="s">
        <v>1939</v>
      </c>
      <c r="F1439" s="9" t="s">
        <v>32</v>
      </c>
      <c r="G1439" s="9" t="s">
        <v>54</v>
      </c>
      <c r="H1439" s="11">
        <v>22340.7</v>
      </c>
      <c r="I1439" s="11">
        <v>22340.7</v>
      </c>
      <c r="J1439" s="11">
        <v>0</v>
      </c>
      <c r="K1439">
        <v>1</v>
      </c>
    </row>
    <row r="1440" spans="1:11" x14ac:dyDescent="0.25">
      <c r="A1440" s="9" t="s">
        <v>52</v>
      </c>
      <c r="B1440" s="9" t="s">
        <v>23</v>
      </c>
      <c r="C1440" s="10">
        <v>46020</v>
      </c>
      <c r="D1440" s="10">
        <v>46020</v>
      </c>
      <c r="E1440" s="9" t="s">
        <v>1940</v>
      </c>
      <c r="F1440" s="9" t="s">
        <v>32</v>
      </c>
      <c r="G1440" s="9" t="s">
        <v>226</v>
      </c>
      <c r="H1440" s="11">
        <v>10940.72</v>
      </c>
      <c r="I1440" s="11">
        <v>10940.72</v>
      </c>
      <c r="J1440" s="11">
        <v>0</v>
      </c>
      <c r="K1440">
        <v>1</v>
      </c>
    </row>
    <row r="1441" spans="1:11" x14ac:dyDescent="0.25">
      <c r="A1441" s="9" t="s">
        <v>52</v>
      </c>
      <c r="B1441" s="9" t="s">
        <v>23</v>
      </c>
      <c r="C1441" s="10">
        <v>46020</v>
      </c>
      <c r="D1441" s="10">
        <v>46020</v>
      </c>
      <c r="E1441" s="9" t="s">
        <v>1941</v>
      </c>
      <c r="F1441" s="9" t="s">
        <v>32</v>
      </c>
      <c r="G1441" s="9" t="s">
        <v>666</v>
      </c>
      <c r="H1441" s="11">
        <v>6043.62</v>
      </c>
      <c r="I1441" s="11">
        <v>6043.62</v>
      </c>
      <c r="J1441" s="11">
        <v>0</v>
      </c>
      <c r="K1441">
        <v>1</v>
      </c>
    </row>
    <row r="1442" spans="1:11" x14ac:dyDescent="0.25">
      <c r="A1442" s="9" t="s">
        <v>52</v>
      </c>
      <c r="B1442" s="9" t="s">
        <v>23</v>
      </c>
      <c r="C1442" s="10">
        <v>46020</v>
      </c>
      <c r="D1442" s="10">
        <v>46020</v>
      </c>
      <c r="E1442" s="9" t="s">
        <v>1942</v>
      </c>
      <c r="F1442" s="9" t="s">
        <v>32</v>
      </c>
      <c r="G1442" s="9" t="s">
        <v>516</v>
      </c>
      <c r="H1442" s="11">
        <v>1629.25</v>
      </c>
      <c r="I1442" s="11">
        <v>1629.25</v>
      </c>
      <c r="J1442" s="11">
        <v>0</v>
      </c>
      <c r="K1442">
        <v>1</v>
      </c>
    </row>
    <row r="1443" spans="1:11" x14ac:dyDescent="0.25">
      <c r="A1443" s="9" t="s">
        <v>52</v>
      </c>
      <c r="B1443" s="9" t="s">
        <v>23</v>
      </c>
      <c r="C1443" s="10">
        <v>46020</v>
      </c>
      <c r="D1443" s="10">
        <v>46020</v>
      </c>
      <c r="E1443" s="9" t="s">
        <v>1943</v>
      </c>
      <c r="F1443" s="9" t="s">
        <v>32</v>
      </c>
      <c r="G1443" s="9" t="s">
        <v>235</v>
      </c>
      <c r="H1443" s="11">
        <v>3852.18</v>
      </c>
      <c r="I1443" s="11">
        <v>3852.18</v>
      </c>
      <c r="J1443" s="11">
        <v>0</v>
      </c>
      <c r="K1443">
        <v>1</v>
      </c>
    </row>
    <row r="1444" spans="1:11" x14ac:dyDescent="0.25">
      <c r="A1444" s="9" t="s">
        <v>52</v>
      </c>
      <c r="B1444" s="9" t="s">
        <v>23</v>
      </c>
      <c r="C1444" s="10">
        <v>46020</v>
      </c>
      <c r="D1444" s="10">
        <v>46020</v>
      </c>
      <c r="E1444" s="9" t="s">
        <v>1944</v>
      </c>
      <c r="F1444" s="9" t="s">
        <v>32</v>
      </c>
      <c r="G1444" s="9" t="s">
        <v>347</v>
      </c>
      <c r="H1444" s="11">
        <v>4825.53</v>
      </c>
      <c r="I1444" s="11">
        <v>4825.53</v>
      </c>
      <c r="J1444" s="11">
        <v>0</v>
      </c>
      <c r="K1444">
        <v>1</v>
      </c>
    </row>
    <row r="1445" spans="1:11" x14ac:dyDescent="0.25">
      <c r="A1445" s="9" t="s">
        <v>52</v>
      </c>
      <c r="B1445" s="9" t="s">
        <v>23</v>
      </c>
      <c r="C1445" s="10">
        <v>46020</v>
      </c>
      <c r="D1445" s="10">
        <v>46020</v>
      </c>
      <c r="E1445" s="9" t="s">
        <v>1945</v>
      </c>
      <c r="F1445" s="9" t="s">
        <v>32</v>
      </c>
      <c r="G1445" s="9" t="s">
        <v>1214</v>
      </c>
      <c r="H1445" s="11">
        <v>1100.9000000000001</v>
      </c>
      <c r="I1445" s="11">
        <v>1100.9000000000001</v>
      </c>
      <c r="J1445" s="11">
        <v>0</v>
      </c>
      <c r="K1445">
        <v>1</v>
      </c>
    </row>
    <row r="1446" spans="1:11" x14ac:dyDescent="0.25">
      <c r="A1446" s="9" t="s">
        <v>52</v>
      </c>
      <c r="B1446" s="9" t="s">
        <v>23</v>
      </c>
      <c r="C1446" s="10">
        <v>46020</v>
      </c>
      <c r="D1446" s="10">
        <v>46020</v>
      </c>
      <c r="E1446" s="9" t="s">
        <v>1946</v>
      </c>
      <c r="F1446" s="9" t="s">
        <v>32</v>
      </c>
      <c r="G1446" s="9" t="s">
        <v>1064</v>
      </c>
      <c r="H1446" s="11">
        <v>883.96</v>
      </c>
      <c r="I1446" s="11">
        <v>883.96</v>
      </c>
      <c r="J1446" s="11">
        <v>0</v>
      </c>
      <c r="K1446">
        <v>1</v>
      </c>
    </row>
    <row r="1447" spans="1:11" x14ac:dyDescent="0.25">
      <c r="A1447" s="9" t="s">
        <v>52</v>
      </c>
      <c r="B1447" s="9" t="s">
        <v>23</v>
      </c>
      <c r="C1447" s="10">
        <v>46020</v>
      </c>
      <c r="D1447" s="10">
        <v>46020</v>
      </c>
      <c r="E1447" s="9" t="s">
        <v>1947</v>
      </c>
      <c r="F1447" s="9" t="s">
        <v>32</v>
      </c>
      <c r="G1447" s="9" t="s">
        <v>1480</v>
      </c>
      <c r="H1447" s="11">
        <v>2484.96</v>
      </c>
      <c r="I1447" s="11">
        <v>2484.96</v>
      </c>
      <c r="J1447" s="11">
        <v>0</v>
      </c>
      <c r="K1447">
        <v>1</v>
      </c>
    </row>
    <row r="1448" spans="1:11" x14ac:dyDescent="0.25">
      <c r="A1448" s="9" t="s">
        <v>52</v>
      </c>
      <c r="B1448" s="9" t="s">
        <v>23</v>
      </c>
      <c r="C1448" s="10">
        <v>46020</v>
      </c>
      <c r="D1448" s="10">
        <v>46020</v>
      </c>
      <c r="E1448" s="9" t="s">
        <v>1948</v>
      </c>
      <c r="F1448" s="9" t="s">
        <v>32</v>
      </c>
      <c r="G1448" s="9" t="s">
        <v>1949</v>
      </c>
      <c r="H1448" s="11">
        <v>1457.02</v>
      </c>
      <c r="I1448" s="11">
        <v>1457.02</v>
      </c>
      <c r="J1448" s="11">
        <v>0</v>
      </c>
      <c r="K1448">
        <v>1</v>
      </c>
    </row>
    <row r="1449" spans="1:11" x14ac:dyDescent="0.25">
      <c r="A1449" s="9" t="s">
        <v>52</v>
      </c>
      <c r="B1449" s="9" t="s">
        <v>23</v>
      </c>
      <c r="C1449" s="10">
        <v>46020</v>
      </c>
      <c r="D1449" s="10">
        <v>46020</v>
      </c>
      <c r="E1449" s="9" t="s">
        <v>1950</v>
      </c>
      <c r="F1449" s="9" t="s">
        <v>32</v>
      </c>
      <c r="G1449" s="9" t="s">
        <v>92</v>
      </c>
      <c r="H1449" s="11">
        <v>538.6</v>
      </c>
      <c r="I1449" s="11">
        <v>538.6</v>
      </c>
      <c r="J1449" s="11">
        <v>0</v>
      </c>
      <c r="K1449">
        <v>1</v>
      </c>
    </row>
    <row r="1450" spans="1:11" x14ac:dyDescent="0.25">
      <c r="A1450" s="9" t="s">
        <v>52</v>
      </c>
      <c r="B1450" s="9" t="s">
        <v>23</v>
      </c>
      <c r="C1450" s="10">
        <v>46020</v>
      </c>
      <c r="D1450" s="10">
        <v>46020</v>
      </c>
      <c r="E1450" s="9" t="s">
        <v>1951</v>
      </c>
      <c r="F1450" s="9" t="s">
        <v>32</v>
      </c>
      <c r="G1450" s="9" t="s">
        <v>297</v>
      </c>
      <c r="H1450" s="11">
        <v>3121.28</v>
      </c>
      <c r="I1450" s="11">
        <v>3121.28</v>
      </c>
      <c r="J1450" s="11">
        <v>0</v>
      </c>
      <c r="K1450">
        <v>1</v>
      </c>
    </row>
    <row r="1451" spans="1:11" x14ac:dyDescent="0.25">
      <c r="A1451" s="9" t="s">
        <v>52</v>
      </c>
      <c r="B1451" s="9" t="s">
        <v>23</v>
      </c>
      <c r="C1451" s="10">
        <v>46020</v>
      </c>
      <c r="D1451" s="10">
        <v>46020</v>
      </c>
      <c r="E1451" s="9" t="s">
        <v>1952</v>
      </c>
      <c r="F1451" s="9" t="s">
        <v>32</v>
      </c>
      <c r="G1451" s="9" t="s">
        <v>632</v>
      </c>
      <c r="H1451" s="11">
        <v>1931.17</v>
      </c>
      <c r="I1451" s="11">
        <v>1931.17</v>
      </c>
      <c r="J1451" s="11">
        <v>0</v>
      </c>
      <c r="K1451">
        <v>1</v>
      </c>
    </row>
    <row r="1452" spans="1:11" x14ac:dyDescent="0.25">
      <c r="A1452" s="9" t="s">
        <v>52</v>
      </c>
      <c r="B1452" s="9" t="s">
        <v>23</v>
      </c>
      <c r="C1452" s="10">
        <v>46020</v>
      </c>
      <c r="D1452" s="10">
        <v>46020</v>
      </c>
      <c r="E1452" s="9" t="s">
        <v>1953</v>
      </c>
      <c r="F1452" s="9" t="s">
        <v>32</v>
      </c>
      <c r="G1452" s="9" t="s">
        <v>297</v>
      </c>
      <c r="H1452" s="11">
        <v>2116.84</v>
      </c>
      <c r="I1452" s="11">
        <v>2116.84</v>
      </c>
      <c r="J1452" s="11">
        <v>0</v>
      </c>
      <c r="K1452">
        <v>1</v>
      </c>
    </row>
    <row r="1453" spans="1:11" x14ac:dyDescent="0.25">
      <c r="A1453" s="9" t="s">
        <v>52</v>
      </c>
      <c r="B1453" s="9" t="s">
        <v>23</v>
      </c>
      <c r="C1453" s="10">
        <v>46020</v>
      </c>
      <c r="D1453" s="10">
        <v>46020</v>
      </c>
      <c r="E1453" s="9" t="s">
        <v>1954</v>
      </c>
      <c r="F1453" s="9" t="s">
        <v>32</v>
      </c>
      <c r="G1453" s="9" t="s">
        <v>558</v>
      </c>
      <c r="H1453" s="11">
        <v>448.87</v>
      </c>
      <c r="I1453" s="11">
        <v>448.87</v>
      </c>
      <c r="J1453" s="11">
        <v>0</v>
      </c>
      <c r="K1453">
        <v>1</v>
      </c>
    </row>
    <row r="1454" spans="1:11" x14ac:dyDescent="0.25">
      <c r="A1454" s="9" t="s">
        <v>52</v>
      </c>
      <c r="B1454" s="9" t="s">
        <v>23</v>
      </c>
      <c r="C1454" s="10">
        <v>46020</v>
      </c>
      <c r="D1454" s="10">
        <v>46020</v>
      </c>
      <c r="E1454" s="9" t="s">
        <v>1955</v>
      </c>
      <c r="F1454" s="9" t="s">
        <v>32</v>
      </c>
      <c r="G1454" s="9" t="s">
        <v>1057</v>
      </c>
      <c r="H1454" s="11">
        <v>5090.03</v>
      </c>
      <c r="I1454" s="11">
        <v>5090.03</v>
      </c>
      <c r="J1454" s="11">
        <v>0</v>
      </c>
      <c r="K1454">
        <v>1</v>
      </c>
    </row>
    <row r="1455" spans="1:11" x14ac:dyDescent="0.25">
      <c r="A1455" s="9" t="s">
        <v>52</v>
      </c>
      <c r="B1455" s="9" t="s">
        <v>23</v>
      </c>
      <c r="C1455" s="10">
        <v>46020</v>
      </c>
      <c r="D1455" s="10">
        <v>46020</v>
      </c>
      <c r="E1455" s="9" t="s">
        <v>1956</v>
      </c>
      <c r="F1455" s="9" t="s">
        <v>32</v>
      </c>
      <c r="G1455" s="9" t="s">
        <v>651</v>
      </c>
      <c r="H1455" s="11">
        <v>3299.27</v>
      </c>
      <c r="I1455" s="11">
        <v>3299.27</v>
      </c>
      <c r="J1455" s="11">
        <v>0</v>
      </c>
      <c r="K1455">
        <v>1</v>
      </c>
    </row>
    <row r="1456" spans="1:11" x14ac:dyDescent="0.25">
      <c r="A1456" s="9" t="s">
        <v>52</v>
      </c>
      <c r="B1456" s="9" t="s">
        <v>23</v>
      </c>
      <c r="C1456" s="10">
        <v>46020</v>
      </c>
      <c r="D1456" s="10">
        <v>46020</v>
      </c>
      <c r="E1456" s="9" t="s">
        <v>1957</v>
      </c>
      <c r="F1456" s="9" t="s">
        <v>32</v>
      </c>
      <c r="G1456" s="9" t="s">
        <v>92</v>
      </c>
      <c r="H1456" s="11">
        <v>2499.29</v>
      </c>
      <c r="I1456" s="11">
        <v>2499.29</v>
      </c>
      <c r="J1456" s="11">
        <v>0</v>
      </c>
      <c r="K1456">
        <v>1</v>
      </c>
    </row>
    <row r="1457" spans="1:11" x14ac:dyDescent="0.25">
      <c r="A1457" s="9" t="s">
        <v>52</v>
      </c>
      <c r="B1457" s="9" t="s">
        <v>23</v>
      </c>
      <c r="C1457" s="10">
        <v>46020</v>
      </c>
      <c r="D1457" s="10">
        <v>46020</v>
      </c>
      <c r="E1457" s="9" t="s">
        <v>1958</v>
      </c>
      <c r="F1457" s="9" t="s">
        <v>32</v>
      </c>
      <c r="G1457" s="9" t="s">
        <v>1931</v>
      </c>
      <c r="H1457" s="11">
        <v>797.24</v>
      </c>
      <c r="I1457" s="11">
        <v>797.24</v>
      </c>
      <c r="J1457" s="11">
        <v>0</v>
      </c>
      <c r="K1457">
        <v>1</v>
      </c>
    </row>
    <row r="1458" spans="1:11" x14ac:dyDescent="0.25">
      <c r="A1458" s="9" t="s">
        <v>52</v>
      </c>
      <c r="B1458" s="9" t="s">
        <v>23</v>
      </c>
      <c r="C1458" s="10">
        <v>46020</v>
      </c>
      <c r="D1458" s="10">
        <v>46020</v>
      </c>
      <c r="E1458" s="9" t="s">
        <v>1959</v>
      </c>
      <c r="F1458" s="9" t="s">
        <v>32</v>
      </c>
      <c r="G1458" s="9" t="s">
        <v>281</v>
      </c>
      <c r="H1458" s="11">
        <v>7413.49</v>
      </c>
      <c r="I1458" s="11">
        <v>7413.49</v>
      </c>
      <c r="J1458" s="11">
        <v>0</v>
      </c>
      <c r="K1458">
        <v>1</v>
      </c>
    </row>
    <row r="1459" spans="1:11" x14ac:dyDescent="0.25">
      <c r="A1459" s="9" t="s">
        <v>52</v>
      </c>
      <c r="B1459" s="9" t="s">
        <v>23</v>
      </c>
      <c r="C1459" s="10">
        <v>46020</v>
      </c>
      <c r="D1459" s="10">
        <v>46020</v>
      </c>
      <c r="E1459" s="9" t="s">
        <v>1960</v>
      </c>
      <c r="F1459" s="9" t="s">
        <v>32</v>
      </c>
      <c r="G1459" s="9" t="s">
        <v>277</v>
      </c>
      <c r="H1459" s="11">
        <v>11187.1</v>
      </c>
      <c r="I1459" s="11">
        <v>11187.1</v>
      </c>
      <c r="J1459" s="11">
        <v>0</v>
      </c>
      <c r="K1459">
        <v>1</v>
      </c>
    </row>
    <row r="1460" spans="1:11" x14ac:dyDescent="0.25">
      <c r="A1460" s="9" t="s">
        <v>52</v>
      </c>
      <c r="B1460" s="9" t="s">
        <v>23</v>
      </c>
      <c r="C1460" s="10">
        <v>46020</v>
      </c>
      <c r="D1460" s="10">
        <v>46020</v>
      </c>
      <c r="E1460" s="9" t="s">
        <v>1961</v>
      </c>
      <c r="F1460" s="9" t="s">
        <v>32</v>
      </c>
      <c r="G1460" s="9" t="s">
        <v>102</v>
      </c>
      <c r="H1460" s="11">
        <v>1092.1300000000001</v>
      </c>
      <c r="I1460" s="11">
        <v>1092.1300000000001</v>
      </c>
      <c r="J1460" s="11">
        <v>0</v>
      </c>
      <c r="K1460">
        <v>1</v>
      </c>
    </row>
    <row r="1461" spans="1:11" x14ac:dyDescent="0.25">
      <c r="A1461" s="9" t="s">
        <v>52</v>
      </c>
      <c r="B1461" s="9" t="s">
        <v>23</v>
      </c>
      <c r="C1461" s="10">
        <v>46020</v>
      </c>
      <c r="D1461" s="10">
        <v>46020</v>
      </c>
      <c r="E1461" s="9" t="s">
        <v>1962</v>
      </c>
      <c r="F1461" s="9" t="s">
        <v>32</v>
      </c>
      <c r="G1461" s="9" t="s">
        <v>299</v>
      </c>
      <c r="H1461" s="11">
        <v>1958.27</v>
      </c>
      <c r="I1461" s="11">
        <v>1958.27</v>
      </c>
      <c r="J1461" s="11">
        <v>0</v>
      </c>
      <c r="K1461">
        <v>1</v>
      </c>
    </row>
    <row r="1462" spans="1:11" x14ac:dyDescent="0.25">
      <c r="A1462" s="9" t="s">
        <v>52</v>
      </c>
      <c r="B1462" s="9" t="s">
        <v>23</v>
      </c>
      <c r="C1462" s="10">
        <v>46020</v>
      </c>
      <c r="D1462" s="10">
        <v>46020</v>
      </c>
      <c r="E1462" s="9" t="s">
        <v>1963</v>
      </c>
      <c r="F1462" s="9" t="s">
        <v>32</v>
      </c>
      <c r="G1462" s="9" t="s">
        <v>1964</v>
      </c>
      <c r="H1462" s="11">
        <v>830.24</v>
      </c>
      <c r="I1462" s="11">
        <v>830.24</v>
      </c>
      <c r="J1462" s="11">
        <v>0</v>
      </c>
      <c r="K1462">
        <v>1</v>
      </c>
    </row>
    <row r="1463" spans="1:11" x14ac:dyDescent="0.25">
      <c r="A1463" s="9" t="s">
        <v>52</v>
      </c>
      <c r="B1463" s="9" t="s">
        <v>23</v>
      </c>
      <c r="C1463" s="10">
        <v>46020</v>
      </c>
      <c r="D1463" s="10">
        <v>46020</v>
      </c>
      <c r="E1463" s="9" t="s">
        <v>1965</v>
      </c>
      <c r="F1463" s="9" t="s">
        <v>32</v>
      </c>
      <c r="G1463" s="9" t="s">
        <v>281</v>
      </c>
      <c r="H1463" s="11">
        <v>3491.61</v>
      </c>
      <c r="I1463" s="11">
        <v>3491.61</v>
      </c>
      <c r="J1463" s="11">
        <v>0</v>
      </c>
      <c r="K1463">
        <v>1</v>
      </c>
    </row>
    <row r="1464" spans="1:11" x14ac:dyDescent="0.25">
      <c r="A1464" s="9" t="s">
        <v>52</v>
      </c>
      <c r="B1464" s="9" t="s">
        <v>23</v>
      </c>
      <c r="C1464" s="10">
        <v>46020</v>
      </c>
      <c r="D1464" s="10">
        <v>46020</v>
      </c>
      <c r="E1464" s="9" t="s">
        <v>1966</v>
      </c>
      <c r="F1464" s="9" t="s">
        <v>32</v>
      </c>
      <c r="G1464" s="9" t="s">
        <v>481</v>
      </c>
      <c r="H1464" s="11">
        <v>528.1</v>
      </c>
      <c r="I1464" s="11">
        <v>528.1</v>
      </c>
      <c r="J1464" s="11">
        <v>0</v>
      </c>
      <c r="K1464">
        <v>1</v>
      </c>
    </row>
    <row r="1465" spans="1:11" x14ac:dyDescent="0.25">
      <c r="A1465" s="9" t="s">
        <v>52</v>
      </c>
      <c r="B1465" s="9" t="s">
        <v>23</v>
      </c>
      <c r="C1465" s="10">
        <v>46020</v>
      </c>
      <c r="D1465" s="10">
        <v>46020</v>
      </c>
      <c r="E1465" s="9" t="s">
        <v>1967</v>
      </c>
      <c r="F1465" s="9" t="s">
        <v>32</v>
      </c>
      <c r="G1465" s="9" t="s">
        <v>1968</v>
      </c>
      <c r="H1465" s="11">
        <v>2039.68</v>
      </c>
      <c r="I1465" s="11">
        <v>2039.68</v>
      </c>
      <c r="J1465" s="11">
        <v>0</v>
      </c>
      <c r="K1465">
        <v>1</v>
      </c>
    </row>
    <row r="1466" spans="1:11" x14ac:dyDescent="0.25">
      <c r="A1466" s="9" t="s">
        <v>52</v>
      </c>
      <c r="B1466" s="9" t="s">
        <v>23</v>
      </c>
      <c r="C1466" s="10">
        <v>46020</v>
      </c>
      <c r="D1466" s="10">
        <v>46020</v>
      </c>
      <c r="E1466" s="9" t="s">
        <v>1969</v>
      </c>
      <c r="F1466" s="9" t="s">
        <v>32</v>
      </c>
      <c r="G1466" s="9" t="s">
        <v>474</v>
      </c>
      <c r="H1466" s="11">
        <v>2459.7800000000002</v>
      </c>
      <c r="I1466" s="11">
        <v>2459.7800000000002</v>
      </c>
      <c r="J1466" s="11">
        <v>0</v>
      </c>
      <c r="K1466">
        <v>1</v>
      </c>
    </row>
    <row r="1467" spans="1:11" x14ac:dyDescent="0.25">
      <c r="A1467" s="9" t="s">
        <v>52</v>
      </c>
      <c r="B1467" s="9" t="s">
        <v>23</v>
      </c>
      <c r="C1467" s="10">
        <v>46020</v>
      </c>
      <c r="D1467" s="10">
        <v>46020</v>
      </c>
      <c r="E1467" s="9" t="s">
        <v>1970</v>
      </c>
      <c r="F1467" s="9" t="s">
        <v>32</v>
      </c>
      <c r="G1467" s="9" t="s">
        <v>243</v>
      </c>
      <c r="H1467" s="11">
        <v>8496.5499999999993</v>
      </c>
      <c r="I1467" s="11">
        <v>8496.5499999999993</v>
      </c>
      <c r="J1467" s="11">
        <v>0</v>
      </c>
      <c r="K1467">
        <v>1</v>
      </c>
    </row>
    <row r="1468" spans="1:11" x14ac:dyDescent="0.25">
      <c r="A1468" s="9" t="s">
        <v>52</v>
      </c>
      <c r="B1468" s="9" t="s">
        <v>23</v>
      </c>
      <c r="C1468" s="10">
        <v>46020</v>
      </c>
      <c r="D1468" s="10">
        <v>46020</v>
      </c>
      <c r="E1468" s="9" t="s">
        <v>1971</v>
      </c>
      <c r="F1468" s="9" t="s">
        <v>32</v>
      </c>
      <c r="G1468" s="9" t="s">
        <v>1785</v>
      </c>
      <c r="H1468" s="11">
        <v>3260.19</v>
      </c>
      <c r="I1468" s="11">
        <v>3260.19</v>
      </c>
      <c r="J1468" s="11">
        <v>0</v>
      </c>
      <c r="K1468">
        <v>1</v>
      </c>
    </row>
    <row r="1469" spans="1:11" x14ac:dyDescent="0.25">
      <c r="A1469" s="9" t="s">
        <v>52</v>
      </c>
      <c r="B1469" s="9" t="s">
        <v>23</v>
      </c>
      <c r="C1469" s="10">
        <v>46020</v>
      </c>
      <c r="D1469" s="10">
        <v>46020</v>
      </c>
      <c r="E1469" s="9" t="s">
        <v>1972</v>
      </c>
      <c r="F1469" s="9" t="s">
        <v>32</v>
      </c>
      <c r="G1469" s="9" t="s">
        <v>577</v>
      </c>
      <c r="H1469" s="11">
        <v>6474.18</v>
      </c>
      <c r="I1469" s="11">
        <v>6474.18</v>
      </c>
      <c r="J1469" s="11">
        <v>0</v>
      </c>
      <c r="K1469">
        <v>1</v>
      </c>
    </row>
    <row r="1470" spans="1:11" x14ac:dyDescent="0.25">
      <c r="A1470" s="9" t="s">
        <v>52</v>
      </c>
      <c r="B1470" s="9" t="s">
        <v>23</v>
      </c>
      <c r="C1470" s="10">
        <v>46020</v>
      </c>
      <c r="D1470" s="10">
        <v>46020</v>
      </c>
      <c r="E1470" s="9" t="s">
        <v>1973</v>
      </c>
      <c r="F1470" s="9" t="s">
        <v>32</v>
      </c>
      <c r="G1470" s="9" t="s">
        <v>1543</v>
      </c>
      <c r="H1470" s="11">
        <v>3089.45</v>
      </c>
      <c r="I1470" s="11">
        <v>3089.45</v>
      </c>
      <c r="J1470" s="11">
        <v>0</v>
      </c>
      <c r="K1470">
        <v>1</v>
      </c>
    </row>
    <row r="1471" spans="1:11" x14ac:dyDescent="0.25">
      <c r="A1471" s="9" t="s">
        <v>52</v>
      </c>
      <c r="B1471" s="9" t="s">
        <v>23</v>
      </c>
      <c r="C1471" s="10">
        <v>46020</v>
      </c>
      <c r="D1471" s="10">
        <v>46020</v>
      </c>
      <c r="E1471" s="9" t="s">
        <v>1974</v>
      </c>
      <c r="F1471" s="9" t="s">
        <v>32</v>
      </c>
      <c r="G1471" s="9" t="s">
        <v>920</v>
      </c>
      <c r="H1471" s="11">
        <v>8882.34</v>
      </c>
      <c r="I1471" s="11">
        <v>8882.34</v>
      </c>
      <c r="J1471" s="11">
        <v>0</v>
      </c>
      <c r="K1471">
        <v>1</v>
      </c>
    </row>
    <row r="1472" spans="1:11" x14ac:dyDescent="0.25">
      <c r="A1472" s="9" t="s">
        <v>52</v>
      </c>
      <c r="B1472" s="9" t="s">
        <v>23</v>
      </c>
      <c r="C1472" s="10">
        <v>46020</v>
      </c>
      <c r="D1472" s="10">
        <v>46020</v>
      </c>
      <c r="E1472" s="9" t="s">
        <v>1975</v>
      </c>
      <c r="F1472" s="9" t="s">
        <v>32</v>
      </c>
      <c r="G1472" s="9" t="s">
        <v>277</v>
      </c>
      <c r="H1472" s="11">
        <v>6284.19</v>
      </c>
      <c r="I1472" s="11">
        <v>6284.19</v>
      </c>
      <c r="J1472" s="11">
        <v>0</v>
      </c>
      <c r="K1472">
        <v>1</v>
      </c>
    </row>
    <row r="1473" spans="1:11" x14ac:dyDescent="0.25">
      <c r="A1473" s="9" t="s">
        <v>52</v>
      </c>
      <c r="B1473" s="9" t="s">
        <v>23</v>
      </c>
      <c r="C1473" s="10">
        <v>46020</v>
      </c>
      <c r="D1473" s="10">
        <v>46020</v>
      </c>
      <c r="E1473" s="9" t="s">
        <v>1976</v>
      </c>
      <c r="F1473" s="9" t="s">
        <v>32</v>
      </c>
      <c r="G1473" s="9" t="s">
        <v>228</v>
      </c>
      <c r="H1473" s="11">
        <v>10158.219999999999</v>
      </c>
      <c r="I1473" s="11">
        <v>10158.219999999999</v>
      </c>
      <c r="J1473" s="11">
        <v>0</v>
      </c>
      <c r="K1473">
        <v>1</v>
      </c>
    </row>
    <row r="1474" spans="1:11" x14ac:dyDescent="0.25">
      <c r="A1474" s="9" t="s">
        <v>52</v>
      </c>
      <c r="B1474" s="9" t="s">
        <v>23</v>
      </c>
      <c r="C1474" s="10">
        <v>46020</v>
      </c>
      <c r="D1474" s="10">
        <v>46020</v>
      </c>
      <c r="E1474" s="9" t="s">
        <v>1977</v>
      </c>
      <c r="F1474" s="9" t="s">
        <v>32</v>
      </c>
      <c r="G1474" s="9" t="s">
        <v>239</v>
      </c>
      <c r="H1474" s="11">
        <v>2395.5100000000002</v>
      </c>
      <c r="I1474" s="11">
        <v>2395.5100000000002</v>
      </c>
      <c r="J1474" s="11">
        <v>0</v>
      </c>
      <c r="K1474">
        <v>1</v>
      </c>
    </row>
    <row r="1475" spans="1:11" x14ac:dyDescent="0.25">
      <c r="A1475" s="9" t="s">
        <v>52</v>
      </c>
      <c r="B1475" s="9" t="s">
        <v>23</v>
      </c>
      <c r="C1475" s="10">
        <v>46020</v>
      </c>
      <c r="D1475" s="10">
        <v>46020</v>
      </c>
      <c r="E1475" s="9" t="s">
        <v>1978</v>
      </c>
      <c r="F1475" s="9" t="s">
        <v>32</v>
      </c>
      <c r="G1475" s="9" t="s">
        <v>247</v>
      </c>
      <c r="H1475" s="11">
        <v>8325.67</v>
      </c>
      <c r="I1475" s="11">
        <v>8325.67</v>
      </c>
      <c r="J1475" s="11">
        <v>0</v>
      </c>
      <c r="K1475">
        <v>1</v>
      </c>
    </row>
    <row r="1476" spans="1:11" x14ac:dyDescent="0.25">
      <c r="A1476" s="9" t="s">
        <v>52</v>
      </c>
      <c r="B1476" s="9" t="s">
        <v>23</v>
      </c>
      <c r="C1476" s="10">
        <v>46020</v>
      </c>
      <c r="D1476" s="10">
        <v>46020</v>
      </c>
      <c r="E1476" s="9" t="s">
        <v>1979</v>
      </c>
      <c r="F1476" s="9" t="s">
        <v>32</v>
      </c>
      <c r="G1476" s="9" t="s">
        <v>1980</v>
      </c>
      <c r="H1476" s="11">
        <v>2917.6</v>
      </c>
      <c r="I1476" s="11">
        <v>2917.6</v>
      </c>
      <c r="J1476" s="11">
        <v>0</v>
      </c>
      <c r="K1476">
        <v>1</v>
      </c>
    </row>
    <row r="1477" spans="1:11" x14ac:dyDescent="0.25">
      <c r="A1477" s="9" t="s">
        <v>52</v>
      </c>
      <c r="B1477" s="9" t="s">
        <v>23</v>
      </c>
      <c r="C1477" s="10">
        <v>46020</v>
      </c>
      <c r="D1477" s="10">
        <v>46020</v>
      </c>
      <c r="E1477" s="9" t="s">
        <v>1981</v>
      </c>
      <c r="F1477" s="9" t="s">
        <v>32</v>
      </c>
      <c r="G1477" s="9" t="s">
        <v>1982</v>
      </c>
      <c r="H1477" s="11">
        <v>1424.16</v>
      </c>
      <c r="I1477" s="11">
        <v>1424.16</v>
      </c>
      <c r="J1477" s="11">
        <v>0</v>
      </c>
      <c r="K1477">
        <v>1</v>
      </c>
    </row>
    <row r="1478" spans="1:11" x14ac:dyDescent="0.25">
      <c r="A1478" s="9" t="s">
        <v>52</v>
      </c>
      <c r="B1478" s="9" t="s">
        <v>23</v>
      </c>
      <c r="C1478" s="10">
        <v>46020</v>
      </c>
      <c r="D1478" s="10">
        <v>46020</v>
      </c>
      <c r="E1478" s="9" t="s">
        <v>1983</v>
      </c>
      <c r="F1478" s="9" t="s">
        <v>32</v>
      </c>
      <c r="G1478" s="9" t="s">
        <v>1490</v>
      </c>
      <c r="H1478" s="11">
        <v>4321.62</v>
      </c>
      <c r="I1478" s="11">
        <v>4321.62</v>
      </c>
      <c r="J1478" s="11">
        <v>0</v>
      </c>
      <c r="K1478">
        <v>1</v>
      </c>
    </row>
    <row r="1479" spans="1:11" x14ac:dyDescent="0.25">
      <c r="A1479" s="9" t="s">
        <v>52</v>
      </c>
      <c r="B1479" s="9" t="s">
        <v>23</v>
      </c>
      <c r="C1479" s="10">
        <v>46020</v>
      </c>
      <c r="D1479" s="10">
        <v>46020</v>
      </c>
      <c r="E1479" s="9" t="s">
        <v>1984</v>
      </c>
      <c r="F1479" s="9" t="s">
        <v>32</v>
      </c>
      <c r="G1479" s="9" t="s">
        <v>239</v>
      </c>
      <c r="H1479" s="11">
        <v>6225.07</v>
      </c>
      <c r="I1479" s="11">
        <v>6225.07</v>
      </c>
      <c r="J1479" s="11">
        <v>0</v>
      </c>
      <c r="K1479">
        <v>1</v>
      </c>
    </row>
    <row r="1480" spans="1:11" x14ac:dyDescent="0.25">
      <c r="A1480" s="9" t="s">
        <v>52</v>
      </c>
      <c r="B1480" s="9" t="s">
        <v>23</v>
      </c>
      <c r="C1480" s="10">
        <v>46020</v>
      </c>
      <c r="D1480" s="10">
        <v>46020</v>
      </c>
      <c r="E1480" s="9" t="s">
        <v>1985</v>
      </c>
      <c r="F1480" s="9" t="s">
        <v>32</v>
      </c>
      <c r="G1480" s="9" t="s">
        <v>367</v>
      </c>
      <c r="H1480" s="11">
        <v>4151.38</v>
      </c>
      <c r="I1480" s="11">
        <v>4151.38</v>
      </c>
      <c r="J1480" s="11">
        <v>0</v>
      </c>
      <c r="K1480">
        <v>1</v>
      </c>
    </row>
    <row r="1481" spans="1:11" x14ac:dyDescent="0.25">
      <c r="A1481" s="9" t="s">
        <v>52</v>
      </c>
      <c r="B1481" s="9" t="s">
        <v>23</v>
      </c>
      <c r="C1481" s="10">
        <v>46020</v>
      </c>
      <c r="D1481" s="10">
        <v>46020</v>
      </c>
      <c r="E1481" s="9" t="s">
        <v>1986</v>
      </c>
      <c r="F1481" s="9" t="s">
        <v>32</v>
      </c>
      <c r="G1481" s="9" t="s">
        <v>247</v>
      </c>
      <c r="H1481" s="11">
        <v>3149.51</v>
      </c>
      <c r="I1481" s="11">
        <v>3149.51</v>
      </c>
      <c r="J1481" s="11">
        <v>0</v>
      </c>
      <c r="K1481">
        <v>1</v>
      </c>
    </row>
    <row r="1482" spans="1:11" x14ac:dyDescent="0.25">
      <c r="A1482" s="9" t="s">
        <v>52</v>
      </c>
      <c r="B1482" s="9" t="s">
        <v>23</v>
      </c>
      <c r="C1482" s="10">
        <v>46020</v>
      </c>
      <c r="D1482" s="10">
        <v>46020</v>
      </c>
      <c r="E1482" s="9" t="s">
        <v>1987</v>
      </c>
      <c r="F1482" s="9" t="s">
        <v>32</v>
      </c>
      <c r="G1482" s="9" t="s">
        <v>33</v>
      </c>
      <c r="H1482" s="11">
        <v>21476.93</v>
      </c>
      <c r="I1482" s="11">
        <v>21476.93</v>
      </c>
      <c r="J1482" s="11">
        <v>0</v>
      </c>
      <c r="K1482">
        <v>1</v>
      </c>
    </row>
    <row r="1483" spans="1:11" x14ac:dyDescent="0.25">
      <c r="A1483" s="9" t="s">
        <v>52</v>
      </c>
      <c r="B1483" s="9" t="s">
        <v>23</v>
      </c>
      <c r="C1483" s="10">
        <v>46020</v>
      </c>
      <c r="D1483" s="10">
        <v>46020</v>
      </c>
      <c r="E1483" s="9" t="s">
        <v>1988</v>
      </c>
      <c r="F1483" s="9" t="s">
        <v>32</v>
      </c>
      <c r="G1483" s="9" t="s">
        <v>379</v>
      </c>
      <c r="H1483" s="11">
        <v>2399.96</v>
      </c>
      <c r="I1483" s="11">
        <v>2399.96</v>
      </c>
      <c r="J1483" s="11">
        <v>0</v>
      </c>
      <c r="K1483">
        <v>1</v>
      </c>
    </row>
    <row r="1484" spans="1:11" x14ac:dyDescent="0.25">
      <c r="A1484" s="9" t="s">
        <v>52</v>
      </c>
      <c r="B1484" s="9" t="s">
        <v>23</v>
      </c>
      <c r="C1484" s="10">
        <v>46020</v>
      </c>
      <c r="D1484" s="10">
        <v>46020</v>
      </c>
      <c r="E1484" s="9" t="s">
        <v>1989</v>
      </c>
      <c r="F1484" s="9" t="s">
        <v>32</v>
      </c>
      <c r="G1484" s="9" t="s">
        <v>184</v>
      </c>
      <c r="H1484" s="11">
        <v>1579.02</v>
      </c>
      <c r="I1484" s="11">
        <v>1579.02</v>
      </c>
      <c r="J1484" s="11">
        <v>0</v>
      </c>
      <c r="K1484">
        <v>1</v>
      </c>
    </row>
    <row r="1485" spans="1:11" x14ac:dyDescent="0.25">
      <c r="A1485" s="9" t="s">
        <v>52</v>
      </c>
      <c r="B1485" s="9" t="s">
        <v>23</v>
      </c>
      <c r="C1485" s="10">
        <v>46020</v>
      </c>
      <c r="D1485" s="10">
        <v>46020</v>
      </c>
      <c r="E1485" s="9" t="s">
        <v>1990</v>
      </c>
      <c r="F1485" s="9" t="s">
        <v>32</v>
      </c>
      <c r="G1485" s="9" t="s">
        <v>514</v>
      </c>
      <c r="H1485" s="11">
        <v>13985.95</v>
      </c>
      <c r="I1485" s="11">
        <v>13985.95</v>
      </c>
      <c r="J1485" s="11">
        <v>0</v>
      </c>
      <c r="K1485">
        <v>1</v>
      </c>
    </row>
    <row r="1486" spans="1:11" x14ac:dyDescent="0.25">
      <c r="A1486" s="9" t="s">
        <v>52</v>
      </c>
      <c r="B1486" s="9" t="s">
        <v>23</v>
      </c>
      <c r="C1486" s="10">
        <v>46020</v>
      </c>
      <c r="D1486" s="10">
        <v>46020</v>
      </c>
      <c r="E1486" s="9" t="s">
        <v>1991</v>
      </c>
      <c r="F1486" s="9" t="s">
        <v>32</v>
      </c>
      <c r="G1486" s="9" t="s">
        <v>252</v>
      </c>
      <c r="H1486" s="11">
        <v>8977</v>
      </c>
      <c r="I1486" s="11">
        <v>8977</v>
      </c>
      <c r="J1486" s="11">
        <v>0</v>
      </c>
      <c r="K1486">
        <v>1</v>
      </c>
    </row>
    <row r="1487" spans="1:11" x14ac:dyDescent="0.25">
      <c r="A1487" s="9" t="s">
        <v>52</v>
      </c>
      <c r="B1487" s="9" t="s">
        <v>23</v>
      </c>
      <c r="C1487" s="10">
        <v>46020</v>
      </c>
      <c r="D1487" s="10">
        <v>46020</v>
      </c>
      <c r="E1487" s="9" t="s">
        <v>1992</v>
      </c>
      <c r="F1487" s="9" t="s">
        <v>32</v>
      </c>
      <c r="G1487" s="9" t="s">
        <v>309</v>
      </c>
      <c r="H1487" s="11">
        <v>5419.4</v>
      </c>
      <c r="I1487" s="11">
        <v>5419.4</v>
      </c>
      <c r="J1487" s="11">
        <v>0</v>
      </c>
      <c r="K1487">
        <v>1</v>
      </c>
    </row>
    <row r="1488" spans="1:11" x14ac:dyDescent="0.25">
      <c r="A1488" s="9" t="s">
        <v>52</v>
      </c>
      <c r="B1488" s="9" t="s">
        <v>23</v>
      </c>
      <c r="C1488" s="10">
        <v>46020</v>
      </c>
      <c r="D1488" s="10">
        <v>46020</v>
      </c>
      <c r="E1488" s="9" t="s">
        <v>1993</v>
      </c>
      <c r="F1488" s="9" t="s">
        <v>32</v>
      </c>
      <c r="G1488" s="9" t="s">
        <v>303</v>
      </c>
      <c r="H1488" s="11">
        <v>8639.6200000000008</v>
      </c>
      <c r="I1488" s="11">
        <v>8639.6200000000008</v>
      </c>
      <c r="J1488" s="11">
        <v>0</v>
      </c>
      <c r="K1488">
        <v>1</v>
      </c>
    </row>
    <row r="1489" spans="1:11" x14ac:dyDescent="0.25">
      <c r="A1489" s="9" t="s">
        <v>52</v>
      </c>
      <c r="B1489" s="9" t="s">
        <v>55</v>
      </c>
      <c r="C1489" s="10">
        <v>46021</v>
      </c>
      <c r="D1489" s="10">
        <v>46021</v>
      </c>
      <c r="E1489" s="9" t="s">
        <v>1994</v>
      </c>
      <c r="F1489" s="9" t="s">
        <v>57</v>
      </c>
      <c r="G1489" s="9" t="s">
        <v>577</v>
      </c>
      <c r="H1489" s="11">
        <v>5717.53</v>
      </c>
      <c r="I1489" s="11">
        <v>5717.53</v>
      </c>
      <c r="J1489" s="11">
        <v>0</v>
      </c>
      <c r="K1489">
        <v>1</v>
      </c>
    </row>
    <row r="1490" spans="1:11" x14ac:dyDescent="0.25">
      <c r="A1490" s="9" t="s">
        <v>52</v>
      </c>
      <c r="B1490" s="9" t="s">
        <v>23</v>
      </c>
      <c r="C1490" s="10">
        <v>46021</v>
      </c>
      <c r="D1490" s="10">
        <v>46021</v>
      </c>
      <c r="E1490" s="9" t="s">
        <v>1995</v>
      </c>
      <c r="F1490" s="9" t="s">
        <v>32</v>
      </c>
      <c r="G1490" s="9" t="s">
        <v>1827</v>
      </c>
      <c r="H1490" s="11">
        <v>2237.3000000000002</v>
      </c>
      <c r="I1490" s="11">
        <v>2237.3000000000002</v>
      </c>
      <c r="J1490" s="11">
        <v>0</v>
      </c>
      <c r="K1490">
        <v>1</v>
      </c>
    </row>
    <row r="1491" spans="1:11" x14ac:dyDescent="0.25">
      <c r="A1491" s="9" t="s">
        <v>52</v>
      </c>
      <c r="B1491" s="9" t="s">
        <v>23</v>
      </c>
      <c r="C1491" s="10">
        <v>46021</v>
      </c>
      <c r="D1491" s="10">
        <v>46021</v>
      </c>
      <c r="E1491" s="9" t="s">
        <v>1996</v>
      </c>
      <c r="F1491" s="9" t="s">
        <v>32</v>
      </c>
      <c r="G1491" s="9" t="s">
        <v>1964</v>
      </c>
      <c r="H1491" s="11">
        <v>3053.97</v>
      </c>
      <c r="I1491" s="11">
        <v>3053.97</v>
      </c>
      <c r="J1491" s="11">
        <v>0</v>
      </c>
      <c r="K1491">
        <v>1</v>
      </c>
    </row>
    <row r="1492" spans="1:11" x14ac:dyDescent="0.25">
      <c r="A1492" s="9" t="s">
        <v>52</v>
      </c>
      <c r="B1492" s="9" t="s">
        <v>23</v>
      </c>
      <c r="C1492" s="10">
        <v>46021</v>
      </c>
      <c r="D1492" s="10">
        <v>46021</v>
      </c>
      <c r="E1492" s="9" t="s">
        <v>1997</v>
      </c>
      <c r="F1492" s="9" t="s">
        <v>32</v>
      </c>
      <c r="G1492" s="9" t="s">
        <v>582</v>
      </c>
      <c r="H1492" s="11">
        <v>996.7</v>
      </c>
      <c r="I1492" s="11">
        <v>996.7</v>
      </c>
      <c r="J1492" s="11">
        <v>0</v>
      </c>
      <c r="K1492">
        <v>1</v>
      </c>
    </row>
    <row r="1493" spans="1:11" x14ac:dyDescent="0.25">
      <c r="A1493" s="9" t="s">
        <v>52</v>
      </c>
      <c r="B1493" s="9" t="s">
        <v>23</v>
      </c>
      <c r="C1493" s="10">
        <v>46021</v>
      </c>
      <c r="D1493" s="10">
        <v>46021</v>
      </c>
      <c r="E1493" s="9" t="s">
        <v>1998</v>
      </c>
      <c r="F1493" s="9" t="s">
        <v>32</v>
      </c>
      <c r="G1493" s="9" t="s">
        <v>1057</v>
      </c>
      <c r="H1493" s="11">
        <v>12300.98</v>
      </c>
      <c r="I1493" s="11">
        <v>12300.98</v>
      </c>
      <c r="J1493" s="11">
        <v>0</v>
      </c>
      <c r="K1493">
        <v>1</v>
      </c>
    </row>
    <row r="1494" spans="1:11" x14ac:dyDescent="0.25">
      <c r="A1494" s="9" t="s">
        <v>52</v>
      </c>
      <c r="B1494" s="9" t="s">
        <v>23</v>
      </c>
      <c r="C1494" s="10">
        <v>46021</v>
      </c>
      <c r="D1494" s="10">
        <v>46021</v>
      </c>
      <c r="E1494" s="9" t="s">
        <v>1999</v>
      </c>
      <c r="F1494" s="9" t="s">
        <v>32</v>
      </c>
      <c r="G1494" s="9" t="s">
        <v>1841</v>
      </c>
      <c r="H1494" s="11">
        <v>2314.4899999999998</v>
      </c>
      <c r="I1494" s="11">
        <v>2314.4899999999998</v>
      </c>
      <c r="J1494" s="11">
        <v>0</v>
      </c>
      <c r="K1494">
        <v>1</v>
      </c>
    </row>
    <row r="1495" spans="1:11" x14ac:dyDescent="0.25">
      <c r="A1495" s="9" t="s">
        <v>52</v>
      </c>
      <c r="B1495" s="9" t="s">
        <v>23</v>
      </c>
      <c r="C1495" s="10">
        <v>46021</v>
      </c>
      <c r="D1495" s="10">
        <v>46021</v>
      </c>
      <c r="E1495" s="9" t="s">
        <v>2000</v>
      </c>
      <c r="F1495" s="9" t="s">
        <v>32</v>
      </c>
      <c r="G1495" s="9" t="s">
        <v>634</v>
      </c>
      <c r="H1495" s="11">
        <v>1602.44</v>
      </c>
      <c r="I1495" s="11">
        <v>1602.44</v>
      </c>
      <c r="J1495" s="11">
        <v>0</v>
      </c>
      <c r="K1495">
        <v>1</v>
      </c>
    </row>
    <row r="1496" spans="1:11" x14ac:dyDescent="0.25">
      <c r="A1496" s="9" t="s">
        <v>52</v>
      </c>
      <c r="B1496" s="9" t="s">
        <v>23</v>
      </c>
      <c r="C1496" s="10">
        <v>46021</v>
      </c>
      <c r="D1496" s="10">
        <v>46021</v>
      </c>
      <c r="E1496" s="9" t="s">
        <v>2001</v>
      </c>
      <c r="F1496" s="9" t="s">
        <v>32</v>
      </c>
      <c r="G1496" s="9" t="s">
        <v>97</v>
      </c>
      <c r="H1496" s="11">
        <v>906.74</v>
      </c>
      <c r="I1496" s="11">
        <v>906.74</v>
      </c>
      <c r="J1496" s="11">
        <v>0</v>
      </c>
      <c r="K1496">
        <v>1</v>
      </c>
    </row>
    <row r="1497" spans="1:11" x14ac:dyDescent="0.25">
      <c r="A1497" s="9" t="s">
        <v>52</v>
      </c>
      <c r="B1497" s="9" t="s">
        <v>23</v>
      </c>
      <c r="C1497" s="10">
        <v>46021</v>
      </c>
      <c r="D1497" s="10">
        <v>46021</v>
      </c>
      <c r="E1497" s="9" t="s">
        <v>2002</v>
      </c>
      <c r="F1497" s="9" t="s">
        <v>32</v>
      </c>
      <c r="G1497" s="9" t="s">
        <v>58</v>
      </c>
      <c r="H1497" s="11">
        <v>2662.56</v>
      </c>
      <c r="I1497" s="11">
        <v>2662.56</v>
      </c>
      <c r="J1497" s="11">
        <v>0</v>
      </c>
      <c r="K1497">
        <v>1</v>
      </c>
    </row>
    <row r="1498" spans="1:11" x14ac:dyDescent="0.25">
      <c r="A1498" s="9" t="s">
        <v>52</v>
      </c>
      <c r="B1498" s="9" t="s">
        <v>23</v>
      </c>
      <c r="C1498" s="10">
        <v>46021</v>
      </c>
      <c r="D1498" s="10">
        <v>46021</v>
      </c>
      <c r="E1498" s="9" t="s">
        <v>2003</v>
      </c>
      <c r="F1498" s="9" t="s">
        <v>32</v>
      </c>
      <c r="G1498" s="9" t="s">
        <v>252</v>
      </c>
      <c r="H1498" s="11">
        <v>11385.27</v>
      </c>
      <c r="I1498" s="11">
        <v>11385.27</v>
      </c>
      <c r="J1498" s="11">
        <v>0</v>
      </c>
      <c r="K1498">
        <v>1</v>
      </c>
    </row>
    <row r="1499" spans="1:11" x14ac:dyDescent="0.25">
      <c r="A1499" s="9" t="s">
        <v>52</v>
      </c>
      <c r="B1499" s="9" t="s">
        <v>23</v>
      </c>
      <c r="C1499" s="10">
        <v>46021</v>
      </c>
      <c r="D1499" s="10">
        <v>46021</v>
      </c>
      <c r="E1499" s="9" t="s">
        <v>2004</v>
      </c>
      <c r="F1499" s="9" t="s">
        <v>32</v>
      </c>
      <c r="G1499" s="9" t="s">
        <v>485</v>
      </c>
      <c r="H1499" s="11">
        <v>2567.59</v>
      </c>
      <c r="I1499" s="11">
        <v>2567.59</v>
      </c>
      <c r="J1499" s="11">
        <v>0</v>
      </c>
      <c r="K1499">
        <v>1</v>
      </c>
    </row>
    <row r="1500" spans="1:11" x14ac:dyDescent="0.25">
      <c r="A1500" s="9" t="s">
        <v>52</v>
      </c>
      <c r="B1500" s="9" t="s">
        <v>23</v>
      </c>
      <c r="C1500" s="10">
        <v>46021</v>
      </c>
      <c r="D1500" s="10">
        <v>46021</v>
      </c>
      <c r="E1500" s="9" t="s">
        <v>2005</v>
      </c>
      <c r="F1500" s="9" t="s">
        <v>32</v>
      </c>
      <c r="G1500" s="9" t="s">
        <v>118</v>
      </c>
      <c r="H1500" s="11">
        <v>2232.13</v>
      </c>
      <c r="I1500" s="11">
        <v>2232.13</v>
      </c>
      <c r="J1500" s="11">
        <v>0</v>
      </c>
      <c r="K1500">
        <v>1</v>
      </c>
    </row>
    <row r="1501" spans="1:11" x14ac:dyDescent="0.25">
      <c r="A1501" s="9" t="s">
        <v>52</v>
      </c>
      <c r="B1501" s="9" t="s">
        <v>23</v>
      </c>
      <c r="C1501" s="10">
        <v>46021</v>
      </c>
      <c r="D1501" s="10">
        <v>46021</v>
      </c>
      <c r="E1501" s="9" t="s">
        <v>2006</v>
      </c>
      <c r="F1501" s="9" t="s">
        <v>32</v>
      </c>
      <c r="G1501" s="9" t="s">
        <v>679</v>
      </c>
      <c r="H1501" s="11">
        <v>1970.81</v>
      </c>
      <c r="I1501" s="11">
        <v>1970.81</v>
      </c>
      <c r="J1501" s="11">
        <v>0</v>
      </c>
      <c r="K1501">
        <v>1</v>
      </c>
    </row>
    <row r="1502" spans="1:11" x14ac:dyDescent="0.25">
      <c r="A1502" s="9" t="s">
        <v>52</v>
      </c>
      <c r="B1502" s="9" t="s">
        <v>23</v>
      </c>
      <c r="C1502" s="10">
        <v>46021</v>
      </c>
      <c r="D1502" s="10">
        <v>46021</v>
      </c>
      <c r="E1502" s="9" t="s">
        <v>2007</v>
      </c>
      <c r="F1502" s="9" t="s">
        <v>32</v>
      </c>
      <c r="G1502" s="9" t="s">
        <v>237</v>
      </c>
      <c r="H1502" s="11">
        <v>3622.62</v>
      </c>
      <c r="I1502" s="11">
        <v>3622.62</v>
      </c>
      <c r="J1502" s="11">
        <v>0</v>
      </c>
      <c r="K1502">
        <v>1</v>
      </c>
    </row>
    <row r="1503" spans="1:11" x14ac:dyDescent="0.25">
      <c r="A1503" s="9" t="s">
        <v>52</v>
      </c>
      <c r="B1503" s="9" t="s">
        <v>23</v>
      </c>
      <c r="C1503" s="10">
        <v>46021</v>
      </c>
      <c r="D1503" s="10">
        <v>46021</v>
      </c>
      <c r="E1503" s="9" t="s">
        <v>2008</v>
      </c>
      <c r="F1503" s="9" t="s">
        <v>32</v>
      </c>
      <c r="G1503" s="9" t="s">
        <v>655</v>
      </c>
      <c r="H1503" s="11">
        <v>835.68</v>
      </c>
      <c r="I1503" s="11">
        <v>835.68</v>
      </c>
      <c r="J1503" s="11">
        <v>0</v>
      </c>
      <c r="K1503">
        <v>1</v>
      </c>
    </row>
    <row r="1504" spans="1:11" x14ac:dyDescent="0.25">
      <c r="A1504" s="9" t="s">
        <v>52</v>
      </c>
      <c r="B1504" s="9" t="s">
        <v>23</v>
      </c>
      <c r="C1504" s="10">
        <v>46021</v>
      </c>
      <c r="D1504" s="10">
        <v>46021</v>
      </c>
      <c r="E1504" s="9" t="s">
        <v>2009</v>
      </c>
      <c r="F1504" s="9" t="s">
        <v>32</v>
      </c>
      <c r="G1504" s="9" t="s">
        <v>552</v>
      </c>
      <c r="H1504" s="11">
        <v>5938.4</v>
      </c>
      <c r="I1504" s="11">
        <v>5938.4</v>
      </c>
      <c r="J1504" s="11">
        <v>0</v>
      </c>
      <c r="K1504">
        <v>1</v>
      </c>
    </row>
    <row r="1505" spans="1:11" x14ac:dyDescent="0.25">
      <c r="A1505" s="9" t="s">
        <v>52</v>
      </c>
      <c r="B1505" s="9" t="s">
        <v>23</v>
      </c>
      <c r="C1505" s="10">
        <v>46021</v>
      </c>
      <c r="D1505" s="10">
        <v>46021</v>
      </c>
      <c r="E1505" s="9" t="s">
        <v>2010</v>
      </c>
      <c r="F1505" s="9" t="s">
        <v>32</v>
      </c>
      <c r="G1505" s="9" t="s">
        <v>224</v>
      </c>
      <c r="H1505" s="11">
        <v>11728.45</v>
      </c>
      <c r="I1505" s="11">
        <v>11728.45</v>
      </c>
      <c r="J1505" s="11">
        <v>0</v>
      </c>
      <c r="K1505">
        <v>1</v>
      </c>
    </row>
    <row r="1506" spans="1:11" x14ac:dyDescent="0.25">
      <c r="A1506" s="9" t="s">
        <v>52</v>
      </c>
      <c r="B1506" s="9" t="s">
        <v>23</v>
      </c>
      <c r="C1506" s="10">
        <v>46021</v>
      </c>
      <c r="D1506" s="10">
        <v>46021</v>
      </c>
      <c r="E1506" s="9" t="s">
        <v>2011</v>
      </c>
      <c r="F1506" s="9" t="s">
        <v>32</v>
      </c>
      <c r="G1506" s="9" t="s">
        <v>213</v>
      </c>
      <c r="H1506" s="11">
        <v>507.08</v>
      </c>
      <c r="I1506" s="11">
        <v>507.08</v>
      </c>
      <c r="J1506" s="11">
        <v>0</v>
      </c>
      <c r="K1506">
        <v>1</v>
      </c>
    </row>
    <row r="1507" spans="1:11" x14ac:dyDescent="0.25">
      <c r="A1507" s="9" t="s">
        <v>52</v>
      </c>
      <c r="B1507" s="9" t="s">
        <v>23</v>
      </c>
      <c r="C1507" s="10">
        <v>46021</v>
      </c>
      <c r="D1507" s="10">
        <v>46021</v>
      </c>
      <c r="E1507" s="9" t="s">
        <v>2012</v>
      </c>
      <c r="F1507" s="9" t="s">
        <v>32</v>
      </c>
      <c r="G1507" s="9" t="s">
        <v>540</v>
      </c>
      <c r="H1507" s="11">
        <v>2630.38</v>
      </c>
      <c r="I1507" s="11">
        <v>2630.38</v>
      </c>
      <c r="J1507" s="11">
        <v>0</v>
      </c>
      <c r="K1507">
        <v>1</v>
      </c>
    </row>
    <row r="1508" spans="1:11" x14ac:dyDescent="0.25">
      <c r="A1508" s="9" t="s">
        <v>52</v>
      </c>
      <c r="B1508" s="9" t="s">
        <v>23</v>
      </c>
      <c r="C1508" s="10">
        <v>46021</v>
      </c>
      <c r="D1508" s="10">
        <v>46021</v>
      </c>
      <c r="E1508" s="9" t="s">
        <v>2013</v>
      </c>
      <c r="F1508" s="9" t="s">
        <v>32</v>
      </c>
      <c r="G1508" s="9" t="s">
        <v>1307</v>
      </c>
      <c r="H1508" s="11">
        <v>3165.94</v>
      </c>
      <c r="I1508" s="11">
        <v>3165.94</v>
      </c>
      <c r="J1508" s="11">
        <v>0</v>
      </c>
      <c r="K1508">
        <v>1</v>
      </c>
    </row>
    <row r="1509" spans="1:11" x14ac:dyDescent="0.25">
      <c r="A1509" s="9" t="s">
        <v>52</v>
      </c>
      <c r="B1509" s="9" t="s">
        <v>23</v>
      </c>
      <c r="C1509" s="10">
        <v>46021</v>
      </c>
      <c r="D1509" s="10">
        <v>46021</v>
      </c>
      <c r="E1509" s="9" t="s">
        <v>2014</v>
      </c>
      <c r="F1509" s="9" t="s">
        <v>32</v>
      </c>
      <c r="G1509" s="9" t="s">
        <v>239</v>
      </c>
      <c r="H1509" s="11">
        <v>3859.97</v>
      </c>
      <c r="I1509" s="11">
        <v>3859.97</v>
      </c>
      <c r="J1509" s="11">
        <v>0</v>
      </c>
      <c r="K1509">
        <v>1</v>
      </c>
    </row>
    <row r="1510" spans="1:11" x14ac:dyDescent="0.25">
      <c r="A1510" s="9" t="s">
        <v>52</v>
      </c>
      <c r="B1510" s="9" t="s">
        <v>23</v>
      </c>
      <c r="C1510" s="10">
        <v>46021</v>
      </c>
      <c r="D1510" s="10">
        <v>46021</v>
      </c>
      <c r="E1510" s="9" t="s">
        <v>2015</v>
      </c>
      <c r="F1510" s="9" t="s">
        <v>32</v>
      </c>
      <c r="G1510" s="9" t="s">
        <v>319</v>
      </c>
      <c r="H1510" s="11">
        <v>2530.06</v>
      </c>
      <c r="I1510" s="11">
        <v>2530.06</v>
      </c>
      <c r="J1510" s="11">
        <v>0</v>
      </c>
      <c r="K1510">
        <v>1</v>
      </c>
    </row>
    <row r="1511" spans="1:11" x14ac:dyDescent="0.25">
      <c r="A1511" s="9" t="s">
        <v>52</v>
      </c>
      <c r="B1511" s="9" t="s">
        <v>23</v>
      </c>
      <c r="C1511" s="10">
        <v>46021</v>
      </c>
      <c r="D1511" s="10">
        <v>46021</v>
      </c>
      <c r="E1511" s="9" t="s">
        <v>2016</v>
      </c>
      <c r="F1511" s="9" t="s">
        <v>32</v>
      </c>
      <c r="G1511" s="9" t="s">
        <v>416</v>
      </c>
      <c r="H1511" s="11">
        <v>1555.28</v>
      </c>
      <c r="I1511" s="11">
        <v>1555.28</v>
      </c>
      <c r="J1511" s="11">
        <v>0</v>
      </c>
      <c r="K1511">
        <v>1</v>
      </c>
    </row>
    <row r="1512" spans="1:11" x14ac:dyDescent="0.25">
      <c r="A1512" s="9" t="s">
        <v>52</v>
      </c>
      <c r="B1512" s="9" t="s">
        <v>23</v>
      </c>
      <c r="C1512" s="10">
        <v>46021</v>
      </c>
      <c r="D1512" s="10">
        <v>46021</v>
      </c>
      <c r="E1512" s="9" t="s">
        <v>2017</v>
      </c>
      <c r="F1512" s="9" t="s">
        <v>32</v>
      </c>
      <c r="G1512" s="9" t="s">
        <v>120</v>
      </c>
      <c r="H1512" s="11">
        <v>3831.79</v>
      </c>
      <c r="I1512" s="11">
        <v>3831.79</v>
      </c>
      <c r="J1512" s="11">
        <v>0</v>
      </c>
      <c r="K1512">
        <v>1</v>
      </c>
    </row>
    <row r="1513" spans="1:11" x14ac:dyDescent="0.25">
      <c r="A1513" s="9" t="s">
        <v>52</v>
      </c>
      <c r="B1513" s="9" t="s">
        <v>23</v>
      </c>
      <c r="C1513" s="10">
        <v>46021</v>
      </c>
      <c r="D1513" s="10">
        <v>46021</v>
      </c>
      <c r="E1513" s="9" t="s">
        <v>2018</v>
      </c>
      <c r="F1513" s="9" t="s">
        <v>32</v>
      </c>
      <c r="G1513" s="9" t="s">
        <v>355</v>
      </c>
      <c r="H1513" s="11">
        <v>2769.4</v>
      </c>
      <c r="I1513" s="11">
        <v>2769.4</v>
      </c>
      <c r="J1513" s="11">
        <v>0</v>
      </c>
      <c r="K1513">
        <v>1</v>
      </c>
    </row>
    <row r="1514" spans="1:11" x14ac:dyDescent="0.25">
      <c r="A1514" s="9" t="s">
        <v>52</v>
      </c>
      <c r="B1514" s="9" t="s">
        <v>23</v>
      </c>
      <c r="C1514" s="10">
        <v>46021</v>
      </c>
      <c r="D1514" s="10">
        <v>46021</v>
      </c>
      <c r="E1514" s="9" t="s">
        <v>2019</v>
      </c>
      <c r="F1514" s="9" t="s">
        <v>32</v>
      </c>
      <c r="G1514" s="9" t="s">
        <v>420</v>
      </c>
      <c r="H1514" s="11">
        <v>1211.0899999999999</v>
      </c>
      <c r="I1514" s="11">
        <v>1211.0899999999999</v>
      </c>
      <c r="J1514" s="11">
        <v>0</v>
      </c>
      <c r="K1514">
        <v>1</v>
      </c>
    </row>
    <row r="1515" spans="1:11" x14ac:dyDescent="0.25">
      <c r="A1515" s="9" t="s">
        <v>52</v>
      </c>
      <c r="B1515" s="9" t="s">
        <v>23</v>
      </c>
      <c r="C1515" s="10">
        <v>46021</v>
      </c>
      <c r="D1515" s="10">
        <v>46021</v>
      </c>
      <c r="E1515" s="9" t="s">
        <v>2020</v>
      </c>
      <c r="F1515" s="9" t="s">
        <v>32</v>
      </c>
      <c r="G1515" s="9" t="s">
        <v>494</v>
      </c>
      <c r="H1515" s="11">
        <v>2126.14</v>
      </c>
      <c r="I1515" s="11">
        <v>2126.14</v>
      </c>
      <c r="J1515" s="11">
        <v>0</v>
      </c>
      <c r="K1515">
        <v>1</v>
      </c>
    </row>
    <row r="1516" spans="1:11" x14ac:dyDescent="0.25">
      <c r="A1516" s="9" t="s">
        <v>52</v>
      </c>
      <c r="B1516" s="9" t="s">
        <v>23</v>
      </c>
      <c r="C1516" s="10">
        <v>46021</v>
      </c>
      <c r="D1516" s="10">
        <v>46021</v>
      </c>
      <c r="E1516" s="9" t="s">
        <v>2021</v>
      </c>
      <c r="F1516" s="9" t="s">
        <v>32</v>
      </c>
      <c r="G1516" s="9" t="s">
        <v>72</v>
      </c>
      <c r="H1516" s="11">
        <v>683.68</v>
      </c>
      <c r="I1516" s="11">
        <v>683.68</v>
      </c>
      <c r="J1516" s="11">
        <v>0</v>
      </c>
      <c r="K1516">
        <v>1</v>
      </c>
    </row>
    <row r="1517" spans="1:11" x14ac:dyDescent="0.25">
      <c r="A1517" s="9" t="s">
        <v>52</v>
      </c>
      <c r="B1517" s="9" t="s">
        <v>23</v>
      </c>
      <c r="C1517" s="10">
        <v>46021</v>
      </c>
      <c r="D1517" s="10">
        <v>46021</v>
      </c>
      <c r="E1517" s="9" t="s">
        <v>2022</v>
      </c>
      <c r="F1517" s="9" t="s">
        <v>32</v>
      </c>
      <c r="G1517" s="9" t="s">
        <v>520</v>
      </c>
      <c r="H1517" s="11">
        <v>842.26</v>
      </c>
      <c r="I1517" s="11">
        <v>842.26</v>
      </c>
      <c r="J1517" s="11">
        <v>0</v>
      </c>
      <c r="K1517">
        <v>1</v>
      </c>
    </row>
    <row r="1518" spans="1:11" x14ac:dyDescent="0.25">
      <c r="A1518" s="9" t="s">
        <v>52</v>
      </c>
      <c r="B1518" s="9" t="s">
        <v>23</v>
      </c>
      <c r="C1518" s="10">
        <v>46021</v>
      </c>
      <c r="D1518" s="10">
        <v>46021</v>
      </c>
      <c r="E1518" s="9" t="s">
        <v>2023</v>
      </c>
      <c r="F1518" s="9" t="s">
        <v>32</v>
      </c>
      <c r="G1518" s="9" t="s">
        <v>987</v>
      </c>
      <c r="H1518" s="11">
        <v>11840.18</v>
      </c>
      <c r="I1518" s="11">
        <v>11840.18</v>
      </c>
      <c r="J1518" s="11">
        <v>0</v>
      </c>
      <c r="K1518">
        <v>1</v>
      </c>
    </row>
    <row r="1519" spans="1:11" x14ac:dyDescent="0.25">
      <c r="A1519" s="9" t="s">
        <v>52</v>
      </c>
      <c r="B1519" s="9" t="s">
        <v>23</v>
      </c>
      <c r="C1519" s="10">
        <v>46021</v>
      </c>
      <c r="D1519" s="10">
        <v>46021</v>
      </c>
      <c r="E1519" s="9" t="s">
        <v>2024</v>
      </c>
      <c r="F1519" s="9" t="s">
        <v>32</v>
      </c>
      <c r="G1519" s="9" t="s">
        <v>273</v>
      </c>
      <c r="H1519" s="11">
        <v>23190.85</v>
      </c>
      <c r="I1519" s="11">
        <v>23190.85</v>
      </c>
      <c r="J1519" s="11">
        <v>0</v>
      </c>
      <c r="K1519">
        <v>1</v>
      </c>
    </row>
    <row r="1520" spans="1:11" x14ac:dyDescent="0.25">
      <c r="A1520" s="9" t="s">
        <v>52</v>
      </c>
      <c r="B1520" s="9" t="s">
        <v>23</v>
      </c>
      <c r="C1520" s="10">
        <v>46021</v>
      </c>
      <c r="D1520" s="10">
        <v>46021</v>
      </c>
      <c r="E1520" s="9" t="s">
        <v>2025</v>
      </c>
      <c r="F1520" s="9" t="s">
        <v>32</v>
      </c>
      <c r="G1520" s="9" t="s">
        <v>243</v>
      </c>
      <c r="H1520" s="11">
        <v>9018.41</v>
      </c>
      <c r="I1520" s="11">
        <v>9018.41</v>
      </c>
      <c r="J1520" s="11">
        <v>0</v>
      </c>
      <c r="K1520">
        <v>1</v>
      </c>
    </row>
    <row r="1521" spans="1:11" x14ac:dyDescent="0.25">
      <c r="A1521" s="9" t="s">
        <v>52</v>
      </c>
      <c r="B1521" s="9" t="s">
        <v>23</v>
      </c>
      <c r="C1521" s="10">
        <v>46021</v>
      </c>
      <c r="D1521" s="10">
        <v>46021</v>
      </c>
      <c r="E1521" s="9" t="s">
        <v>2026</v>
      </c>
      <c r="F1521" s="9" t="s">
        <v>32</v>
      </c>
      <c r="G1521" s="9" t="s">
        <v>307</v>
      </c>
      <c r="H1521" s="11">
        <v>3663.58</v>
      </c>
      <c r="I1521" s="11">
        <v>3663.58</v>
      </c>
      <c r="J1521" s="11">
        <v>0</v>
      </c>
      <c r="K1521">
        <v>1</v>
      </c>
    </row>
    <row r="1522" spans="1:11" x14ac:dyDescent="0.25">
      <c r="A1522" s="9" t="s">
        <v>52</v>
      </c>
      <c r="B1522" s="9" t="s">
        <v>23</v>
      </c>
      <c r="C1522" s="10">
        <v>46021</v>
      </c>
      <c r="D1522" s="10">
        <v>46021</v>
      </c>
      <c r="E1522" s="9" t="s">
        <v>2027</v>
      </c>
      <c r="F1522" s="9" t="s">
        <v>32</v>
      </c>
      <c r="G1522" s="9" t="s">
        <v>247</v>
      </c>
      <c r="H1522" s="11">
        <v>3797.42</v>
      </c>
      <c r="I1522" s="11">
        <v>3797.42</v>
      </c>
      <c r="J1522" s="11">
        <v>0</v>
      </c>
      <c r="K1522">
        <v>1</v>
      </c>
    </row>
    <row r="1523" spans="1:11" x14ac:dyDescent="0.25">
      <c r="A1523" s="9" t="s">
        <v>52</v>
      </c>
      <c r="B1523" s="9" t="s">
        <v>23</v>
      </c>
      <c r="C1523" s="10">
        <v>46021</v>
      </c>
      <c r="D1523" s="10">
        <v>46021</v>
      </c>
      <c r="E1523" s="9" t="s">
        <v>2028</v>
      </c>
      <c r="F1523" s="9" t="s">
        <v>32</v>
      </c>
      <c r="G1523" s="9" t="s">
        <v>391</v>
      </c>
      <c r="H1523" s="11">
        <v>1872.26</v>
      </c>
      <c r="I1523" s="11">
        <v>1872.26</v>
      </c>
      <c r="J1523" s="11">
        <v>0</v>
      </c>
      <c r="K1523">
        <v>1</v>
      </c>
    </row>
    <row r="1524" spans="1:11" x14ac:dyDescent="0.25">
      <c r="A1524" s="9" t="s">
        <v>52</v>
      </c>
      <c r="B1524" s="9" t="s">
        <v>23</v>
      </c>
      <c r="C1524" s="10">
        <v>46021</v>
      </c>
      <c r="D1524" s="10">
        <v>46021</v>
      </c>
      <c r="E1524" s="9" t="s">
        <v>2029</v>
      </c>
      <c r="F1524" s="9" t="s">
        <v>32</v>
      </c>
      <c r="G1524" s="9" t="s">
        <v>279</v>
      </c>
      <c r="H1524" s="11">
        <v>5096.91</v>
      </c>
      <c r="I1524" s="11">
        <v>5096.91</v>
      </c>
      <c r="J1524" s="11">
        <v>0</v>
      </c>
      <c r="K1524">
        <v>1</v>
      </c>
    </row>
    <row r="1525" spans="1:11" x14ac:dyDescent="0.25">
      <c r="A1525" s="9" t="s">
        <v>52</v>
      </c>
      <c r="B1525" s="9" t="s">
        <v>23</v>
      </c>
      <c r="C1525" s="10">
        <v>46021</v>
      </c>
      <c r="D1525" s="10">
        <v>46021</v>
      </c>
      <c r="E1525" s="9" t="s">
        <v>2030</v>
      </c>
      <c r="F1525" s="9" t="s">
        <v>141</v>
      </c>
      <c r="G1525" s="9" t="s">
        <v>2031</v>
      </c>
      <c r="H1525" s="11">
        <v>-11048.2</v>
      </c>
      <c r="I1525" s="11">
        <v>-11048.2</v>
      </c>
      <c r="J1525" s="11">
        <v>0</v>
      </c>
      <c r="K1525">
        <v>1</v>
      </c>
    </row>
    <row r="1526" spans="1:11" x14ac:dyDescent="0.25">
      <c r="A1526" s="9" t="s">
        <v>52</v>
      </c>
      <c r="B1526" s="9" t="s">
        <v>23</v>
      </c>
      <c r="C1526" s="10">
        <v>46021</v>
      </c>
      <c r="D1526" s="10">
        <v>46021</v>
      </c>
      <c r="E1526" s="9" t="s">
        <v>2032</v>
      </c>
      <c r="F1526" s="9" t="s">
        <v>32</v>
      </c>
      <c r="G1526" s="9" t="s">
        <v>88</v>
      </c>
      <c r="H1526" s="11">
        <v>859.48</v>
      </c>
      <c r="I1526" s="11">
        <v>859.48</v>
      </c>
      <c r="J1526" s="11">
        <v>0</v>
      </c>
      <c r="K1526">
        <v>1</v>
      </c>
    </row>
    <row r="1527" spans="1:11" x14ac:dyDescent="0.25">
      <c r="A1527" s="9" t="s">
        <v>52</v>
      </c>
      <c r="B1527" s="9" t="s">
        <v>23</v>
      </c>
      <c r="C1527" s="10">
        <v>46021</v>
      </c>
      <c r="D1527" s="10">
        <v>46021</v>
      </c>
      <c r="E1527" s="9" t="s">
        <v>2033</v>
      </c>
      <c r="F1527" s="9" t="s">
        <v>32</v>
      </c>
      <c r="G1527" s="9" t="s">
        <v>268</v>
      </c>
      <c r="H1527" s="11">
        <v>22418.89</v>
      </c>
      <c r="I1527" s="11">
        <v>22418.89</v>
      </c>
      <c r="J1527" s="11">
        <v>0</v>
      </c>
      <c r="K1527">
        <v>1</v>
      </c>
    </row>
    <row r="1528" spans="1:11" x14ac:dyDescent="0.25">
      <c r="A1528" s="9" t="s">
        <v>52</v>
      </c>
      <c r="B1528" s="9" t="s">
        <v>23</v>
      </c>
      <c r="C1528" s="10">
        <v>46021</v>
      </c>
      <c r="D1528" s="10">
        <v>46021</v>
      </c>
      <c r="E1528" s="9" t="s">
        <v>2034</v>
      </c>
      <c r="F1528" s="9" t="s">
        <v>32</v>
      </c>
      <c r="G1528" s="9" t="s">
        <v>247</v>
      </c>
      <c r="H1528" s="11">
        <v>6912.01</v>
      </c>
      <c r="I1528" s="11">
        <v>6912.01</v>
      </c>
      <c r="J1528" s="11">
        <v>0</v>
      </c>
      <c r="K1528">
        <v>1</v>
      </c>
    </row>
    <row r="1529" spans="1:11" x14ac:dyDescent="0.25">
      <c r="A1529" s="9" t="s">
        <v>52</v>
      </c>
      <c r="B1529" s="9" t="s">
        <v>23</v>
      </c>
      <c r="C1529" s="10">
        <v>46021</v>
      </c>
      <c r="D1529" s="10">
        <v>46021</v>
      </c>
      <c r="E1529" s="9" t="s">
        <v>2035</v>
      </c>
      <c r="F1529" s="9" t="s">
        <v>32</v>
      </c>
      <c r="G1529" s="9" t="s">
        <v>362</v>
      </c>
      <c r="H1529" s="11">
        <v>2786.88</v>
      </c>
      <c r="I1529" s="11">
        <v>2786.88</v>
      </c>
      <c r="J1529" s="11">
        <v>0</v>
      </c>
      <c r="K1529">
        <v>1</v>
      </c>
    </row>
    <row r="1530" spans="1:11" x14ac:dyDescent="0.25">
      <c r="A1530" s="9" t="s">
        <v>52</v>
      </c>
      <c r="B1530" s="9" t="s">
        <v>23</v>
      </c>
      <c r="C1530" s="10">
        <v>46021</v>
      </c>
      <c r="D1530" s="10">
        <v>46021</v>
      </c>
      <c r="E1530" s="9" t="s">
        <v>2036</v>
      </c>
      <c r="F1530" s="9" t="s">
        <v>32</v>
      </c>
      <c r="G1530" s="9" t="s">
        <v>2037</v>
      </c>
      <c r="H1530" s="11">
        <v>4964.0200000000004</v>
      </c>
      <c r="I1530" s="11">
        <v>4964.0200000000004</v>
      </c>
      <c r="J1530" s="11">
        <v>0</v>
      </c>
      <c r="K1530">
        <v>1</v>
      </c>
    </row>
    <row r="1531" spans="1:11" x14ac:dyDescent="0.25">
      <c r="A1531" s="9" t="s">
        <v>52</v>
      </c>
      <c r="B1531" s="9" t="s">
        <v>23</v>
      </c>
      <c r="C1531" s="10">
        <v>46021</v>
      </c>
      <c r="D1531" s="10">
        <v>46021</v>
      </c>
      <c r="E1531" s="9" t="s">
        <v>2038</v>
      </c>
      <c r="F1531" s="9" t="s">
        <v>32</v>
      </c>
      <c r="G1531" s="9" t="s">
        <v>270</v>
      </c>
      <c r="H1531" s="11">
        <v>18169.2</v>
      </c>
      <c r="I1531" s="11">
        <v>18169.2</v>
      </c>
      <c r="J1531" s="11">
        <v>0</v>
      </c>
      <c r="K1531">
        <v>1</v>
      </c>
    </row>
    <row r="1532" spans="1:11" x14ac:dyDescent="0.25">
      <c r="A1532" s="9" t="s">
        <v>52</v>
      </c>
      <c r="B1532" s="9" t="s">
        <v>23</v>
      </c>
      <c r="C1532" s="10">
        <v>46021</v>
      </c>
      <c r="D1532" s="10">
        <v>46021</v>
      </c>
      <c r="E1532" s="9" t="s">
        <v>2039</v>
      </c>
      <c r="F1532" s="9" t="s">
        <v>32</v>
      </c>
      <c r="G1532" s="9" t="s">
        <v>68</v>
      </c>
      <c r="H1532" s="11">
        <v>5008.3999999999996</v>
      </c>
      <c r="I1532" s="11">
        <v>5008.3999999999996</v>
      </c>
      <c r="J1532" s="11">
        <v>0</v>
      </c>
      <c r="K1532">
        <v>1</v>
      </c>
    </row>
    <row r="1533" spans="1:11" x14ac:dyDescent="0.25">
      <c r="A1533" s="9" t="s">
        <v>52</v>
      </c>
      <c r="B1533" s="9" t="s">
        <v>23</v>
      </c>
      <c r="C1533" s="10">
        <v>46021</v>
      </c>
      <c r="D1533" s="10">
        <v>46021</v>
      </c>
      <c r="E1533" s="9" t="s">
        <v>2040</v>
      </c>
      <c r="F1533" s="9" t="s">
        <v>32</v>
      </c>
      <c r="G1533" s="9" t="s">
        <v>264</v>
      </c>
      <c r="H1533" s="11">
        <v>3695.66</v>
      </c>
      <c r="I1533" s="11">
        <v>3695.66</v>
      </c>
      <c r="J1533" s="11">
        <v>0</v>
      </c>
      <c r="K1533">
        <v>1</v>
      </c>
    </row>
    <row r="1534" spans="1:11" x14ac:dyDescent="0.25">
      <c r="A1534" s="9" t="s">
        <v>52</v>
      </c>
      <c r="B1534" s="9" t="s">
        <v>23</v>
      </c>
      <c r="C1534" s="10">
        <v>46021</v>
      </c>
      <c r="D1534" s="10">
        <v>46021</v>
      </c>
      <c r="E1534" s="9" t="s">
        <v>2041</v>
      </c>
      <c r="F1534" s="9" t="s">
        <v>32</v>
      </c>
      <c r="G1534" s="9" t="s">
        <v>768</v>
      </c>
      <c r="H1534" s="11">
        <v>1223.79</v>
      </c>
      <c r="I1534" s="11">
        <v>1223.79</v>
      </c>
      <c r="J1534" s="11">
        <v>0</v>
      </c>
      <c r="K1534">
        <v>1</v>
      </c>
    </row>
    <row r="1535" spans="1:11" x14ac:dyDescent="0.25">
      <c r="A1535" s="9" t="s">
        <v>52</v>
      </c>
      <c r="B1535" s="9" t="s">
        <v>23</v>
      </c>
      <c r="C1535" s="10">
        <v>46021</v>
      </c>
      <c r="D1535" s="10">
        <v>46021</v>
      </c>
      <c r="E1535" s="9" t="s">
        <v>2042</v>
      </c>
      <c r="F1535" s="9" t="s">
        <v>32</v>
      </c>
      <c r="G1535" s="9" t="s">
        <v>1307</v>
      </c>
      <c r="H1535" s="11">
        <v>2242.58</v>
      </c>
      <c r="I1535" s="11">
        <v>2242.58</v>
      </c>
      <c r="J1535" s="11">
        <v>0</v>
      </c>
      <c r="K1535">
        <v>1</v>
      </c>
    </row>
    <row r="1536" spans="1:11" x14ac:dyDescent="0.25">
      <c r="A1536" s="9" t="s">
        <v>52</v>
      </c>
      <c r="B1536" s="9" t="s">
        <v>23</v>
      </c>
      <c r="C1536" s="10">
        <v>46021</v>
      </c>
      <c r="D1536" s="10">
        <v>46021</v>
      </c>
      <c r="E1536" s="9" t="s">
        <v>2043</v>
      </c>
      <c r="F1536" s="9" t="s">
        <v>32</v>
      </c>
      <c r="G1536" s="9" t="s">
        <v>220</v>
      </c>
      <c r="H1536" s="11">
        <v>2731.48</v>
      </c>
      <c r="I1536" s="11">
        <v>2731.48</v>
      </c>
      <c r="J1536" s="11">
        <v>0</v>
      </c>
      <c r="K1536">
        <v>1</v>
      </c>
    </row>
    <row r="1537" spans="1:11" x14ac:dyDescent="0.25">
      <c r="A1537" s="9" t="s">
        <v>52</v>
      </c>
      <c r="B1537" s="9" t="s">
        <v>23</v>
      </c>
      <c r="C1537" s="10">
        <v>46021</v>
      </c>
      <c r="D1537" s="10">
        <v>46021</v>
      </c>
      <c r="E1537" s="9" t="s">
        <v>2044</v>
      </c>
      <c r="F1537" s="9" t="s">
        <v>32</v>
      </c>
      <c r="G1537" s="9" t="s">
        <v>224</v>
      </c>
      <c r="H1537" s="11">
        <v>11858.5</v>
      </c>
      <c r="I1537" s="11">
        <v>11858.5</v>
      </c>
      <c r="J1537" s="11">
        <v>0</v>
      </c>
      <c r="K1537">
        <v>1</v>
      </c>
    </row>
    <row r="1538" spans="1:11" x14ac:dyDescent="0.25">
      <c r="A1538" s="9" t="s">
        <v>52</v>
      </c>
      <c r="B1538" s="9" t="s">
        <v>23</v>
      </c>
      <c r="C1538" s="10">
        <v>46021</v>
      </c>
      <c r="D1538" s="10">
        <v>46021</v>
      </c>
      <c r="E1538" s="9" t="s">
        <v>2045</v>
      </c>
      <c r="F1538" s="9" t="s">
        <v>32</v>
      </c>
      <c r="G1538" s="9" t="s">
        <v>393</v>
      </c>
      <c r="H1538" s="11">
        <v>2692.06</v>
      </c>
      <c r="I1538" s="11">
        <v>2692.06</v>
      </c>
      <c r="J1538" s="11">
        <v>0</v>
      </c>
      <c r="K1538">
        <v>1</v>
      </c>
    </row>
    <row r="1539" spans="1:11" x14ac:dyDescent="0.25">
      <c r="A1539" s="9" t="s">
        <v>52</v>
      </c>
      <c r="B1539" s="9" t="s">
        <v>23</v>
      </c>
      <c r="C1539" s="10">
        <v>46021</v>
      </c>
      <c r="D1539" s="10">
        <v>46021</v>
      </c>
      <c r="E1539" s="9" t="s">
        <v>2046</v>
      </c>
      <c r="F1539" s="9" t="s">
        <v>32</v>
      </c>
      <c r="G1539" s="9" t="s">
        <v>1530</v>
      </c>
      <c r="H1539" s="11">
        <v>2977.96</v>
      </c>
      <c r="I1539" s="11">
        <v>2977.96</v>
      </c>
      <c r="J1539" s="11">
        <v>0</v>
      </c>
      <c r="K1539">
        <v>1</v>
      </c>
    </row>
    <row r="1540" spans="1:11" x14ac:dyDescent="0.25">
      <c r="A1540" s="9" t="s">
        <v>52</v>
      </c>
      <c r="B1540" s="9" t="s">
        <v>23</v>
      </c>
      <c r="C1540" s="10">
        <v>46021</v>
      </c>
      <c r="D1540" s="10">
        <v>46021</v>
      </c>
      <c r="E1540" s="9" t="s">
        <v>2047</v>
      </c>
      <c r="F1540" s="9" t="s">
        <v>32</v>
      </c>
      <c r="G1540" s="9" t="s">
        <v>458</v>
      </c>
      <c r="H1540" s="11">
        <v>9968.2999999999993</v>
      </c>
      <c r="I1540" s="11">
        <v>9968.2999999999993</v>
      </c>
      <c r="J1540" s="11">
        <v>0</v>
      </c>
      <c r="K1540">
        <v>1</v>
      </c>
    </row>
    <row r="1541" spans="1:11" x14ac:dyDescent="0.25">
      <c r="A1541" s="9" t="s">
        <v>52</v>
      </c>
      <c r="B1541" s="9" t="s">
        <v>23</v>
      </c>
      <c r="C1541" s="10">
        <v>46021</v>
      </c>
      <c r="D1541" s="10">
        <v>46021</v>
      </c>
      <c r="E1541" s="9" t="s">
        <v>2048</v>
      </c>
      <c r="F1541" s="9" t="s">
        <v>32</v>
      </c>
      <c r="G1541" s="9" t="s">
        <v>2049</v>
      </c>
      <c r="H1541" s="11">
        <v>474.72</v>
      </c>
      <c r="I1541" s="11">
        <v>474.72</v>
      </c>
      <c r="J1541" s="11">
        <v>0</v>
      </c>
      <c r="K1541">
        <v>1</v>
      </c>
    </row>
    <row r="1542" spans="1:11" x14ac:dyDescent="0.25">
      <c r="A1542" s="9" t="s">
        <v>52</v>
      </c>
      <c r="B1542" s="9" t="s">
        <v>23</v>
      </c>
      <c r="C1542" s="10">
        <v>46021</v>
      </c>
      <c r="D1542" s="10">
        <v>46021</v>
      </c>
      <c r="E1542" s="9" t="s">
        <v>2050</v>
      </c>
      <c r="F1542" s="9" t="s">
        <v>32</v>
      </c>
      <c r="G1542" s="9" t="s">
        <v>303</v>
      </c>
      <c r="H1542" s="11">
        <v>7418.79</v>
      </c>
      <c r="I1542" s="11">
        <v>7418.79</v>
      </c>
      <c r="J1542" s="11">
        <v>0</v>
      </c>
      <c r="K1542">
        <v>1</v>
      </c>
    </row>
    <row r="1543" spans="1:11" x14ac:dyDescent="0.25">
      <c r="A1543" s="9" t="s">
        <v>52</v>
      </c>
      <c r="B1543" s="9" t="s">
        <v>23</v>
      </c>
      <c r="C1543" s="10">
        <v>46021</v>
      </c>
      <c r="D1543" s="10">
        <v>46021</v>
      </c>
      <c r="E1543" s="9" t="s">
        <v>2051</v>
      </c>
      <c r="F1543" s="9" t="s">
        <v>32</v>
      </c>
      <c r="G1543" s="9" t="s">
        <v>291</v>
      </c>
      <c r="H1543" s="11">
        <v>32783.43</v>
      </c>
      <c r="I1543" s="11">
        <v>32783.43</v>
      </c>
      <c r="J1543" s="11">
        <v>0</v>
      </c>
      <c r="K1543">
        <v>1</v>
      </c>
    </row>
    <row r="1544" spans="1:11" x14ac:dyDescent="0.25">
      <c r="A1544" s="9" t="s">
        <v>52</v>
      </c>
      <c r="B1544" s="9" t="s">
        <v>23</v>
      </c>
      <c r="C1544" s="10">
        <v>46021</v>
      </c>
      <c r="D1544" s="10">
        <v>46021</v>
      </c>
      <c r="E1544" s="9" t="s">
        <v>2052</v>
      </c>
      <c r="F1544" s="9" t="s">
        <v>32</v>
      </c>
      <c r="G1544" s="9" t="s">
        <v>312</v>
      </c>
      <c r="H1544" s="11">
        <v>6568.64</v>
      </c>
      <c r="I1544" s="11">
        <v>6568.64</v>
      </c>
      <c r="J1544" s="11">
        <v>0</v>
      </c>
      <c r="K1544">
        <v>1</v>
      </c>
    </row>
    <row r="1545" spans="1:11" x14ac:dyDescent="0.25">
      <c r="A1545" s="9" t="s">
        <v>52</v>
      </c>
      <c r="B1545" s="9" t="s">
        <v>23</v>
      </c>
      <c r="C1545" s="10">
        <v>46021</v>
      </c>
      <c r="D1545" s="10">
        <v>46021</v>
      </c>
      <c r="E1545" s="9" t="s">
        <v>2053</v>
      </c>
      <c r="F1545" s="9" t="s">
        <v>32</v>
      </c>
      <c r="G1545" s="9" t="s">
        <v>226</v>
      </c>
      <c r="H1545" s="11">
        <v>8277.26</v>
      </c>
      <c r="I1545" s="11">
        <v>8277.26</v>
      </c>
      <c r="J1545" s="11">
        <v>0</v>
      </c>
      <c r="K1545">
        <v>1</v>
      </c>
    </row>
    <row r="1546" spans="1:11" x14ac:dyDescent="0.25">
      <c r="A1546" s="9" t="s">
        <v>52</v>
      </c>
      <c r="B1546" s="9" t="s">
        <v>23</v>
      </c>
      <c r="C1546" s="10">
        <v>46021</v>
      </c>
      <c r="D1546" s="10">
        <v>46021</v>
      </c>
      <c r="E1546" s="9" t="s">
        <v>2054</v>
      </c>
      <c r="F1546" s="9" t="s">
        <v>32</v>
      </c>
      <c r="G1546" s="9" t="s">
        <v>574</v>
      </c>
      <c r="H1546" s="11">
        <v>519.83000000000004</v>
      </c>
      <c r="I1546" s="11">
        <v>519.83000000000004</v>
      </c>
      <c r="J1546" s="11">
        <v>0</v>
      </c>
      <c r="K1546">
        <v>1</v>
      </c>
    </row>
    <row r="1547" spans="1:11" x14ac:dyDescent="0.25">
      <c r="A1547" s="9" t="s">
        <v>52</v>
      </c>
      <c r="B1547" s="9" t="s">
        <v>23</v>
      </c>
      <c r="C1547" s="10">
        <v>46021</v>
      </c>
      <c r="D1547" s="10">
        <v>46021</v>
      </c>
      <c r="E1547" s="9" t="s">
        <v>2055</v>
      </c>
      <c r="F1547" s="9" t="s">
        <v>32</v>
      </c>
      <c r="G1547" s="9" t="s">
        <v>279</v>
      </c>
      <c r="H1547" s="11">
        <v>2892.74</v>
      </c>
      <c r="I1547" s="11">
        <v>2892.74</v>
      </c>
      <c r="J1547" s="11">
        <v>0</v>
      </c>
      <c r="K1547">
        <v>1</v>
      </c>
    </row>
    <row r="1548" spans="1:11" x14ac:dyDescent="0.25">
      <c r="A1548" s="9" t="s">
        <v>52</v>
      </c>
      <c r="B1548" s="9" t="s">
        <v>55</v>
      </c>
      <c r="C1548" s="10">
        <v>46022</v>
      </c>
      <c r="D1548" s="10">
        <v>46022</v>
      </c>
      <c r="E1548" s="9" t="s">
        <v>2056</v>
      </c>
      <c r="F1548" s="9" t="s">
        <v>57</v>
      </c>
      <c r="G1548" s="9" t="s">
        <v>243</v>
      </c>
      <c r="H1548" s="11">
        <v>13798.33</v>
      </c>
      <c r="I1548" s="11">
        <v>13798.33</v>
      </c>
      <c r="J1548" s="11">
        <v>0</v>
      </c>
      <c r="K1548">
        <v>1</v>
      </c>
    </row>
    <row r="1549" spans="1:11" x14ac:dyDescent="0.25">
      <c r="A1549" s="9" t="s">
        <v>52</v>
      </c>
      <c r="B1549" s="9" t="s">
        <v>23</v>
      </c>
      <c r="C1549" s="10">
        <v>46022</v>
      </c>
      <c r="D1549" s="10">
        <v>46022</v>
      </c>
      <c r="E1549" s="9" t="s">
        <v>2057</v>
      </c>
      <c r="F1549" s="9" t="s">
        <v>32</v>
      </c>
      <c r="G1549" s="9" t="s">
        <v>1132</v>
      </c>
      <c r="H1549" s="11">
        <v>2384.81</v>
      </c>
      <c r="I1549" s="11">
        <v>2384.81</v>
      </c>
      <c r="J1549" s="11">
        <v>0</v>
      </c>
      <c r="K1549">
        <v>1</v>
      </c>
    </row>
    <row r="1550" spans="1:11" x14ac:dyDescent="0.25">
      <c r="A1550" s="9" t="s">
        <v>52</v>
      </c>
      <c r="B1550" s="9" t="s">
        <v>23</v>
      </c>
      <c r="C1550" s="10">
        <v>46022</v>
      </c>
      <c r="D1550" s="10">
        <v>46022</v>
      </c>
      <c r="E1550" s="9" t="s">
        <v>2058</v>
      </c>
      <c r="F1550" s="9" t="s">
        <v>32</v>
      </c>
      <c r="G1550" s="9" t="s">
        <v>58</v>
      </c>
      <c r="H1550" s="11">
        <v>1931.58</v>
      </c>
      <c r="I1550" s="11">
        <v>1931.58</v>
      </c>
      <c r="J1550" s="11">
        <v>0</v>
      </c>
      <c r="K1550">
        <v>1</v>
      </c>
    </row>
    <row r="1551" spans="1:11" x14ac:dyDescent="0.25">
      <c r="A1551" s="9" t="s">
        <v>52</v>
      </c>
      <c r="B1551" s="9" t="s">
        <v>23</v>
      </c>
      <c r="C1551" s="10">
        <v>46022</v>
      </c>
      <c r="D1551" s="10">
        <v>46022</v>
      </c>
      <c r="E1551" s="9" t="s">
        <v>2059</v>
      </c>
      <c r="F1551" s="9" t="s">
        <v>32</v>
      </c>
      <c r="G1551" s="9" t="s">
        <v>218</v>
      </c>
      <c r="H1551" s="11">
        <v>107.72</v>
      </c>
      <c r="I1551" s="11">
        <v>107.72</v>
      </c>
      <c r="J1551" s="11">
        <v>0</v>
      </c>
      <c r="K1551">
        <v>1</v>
      </c>
    </row>
    <row r="1552" spans="1:11" x14ac:dyDescent="0.25">
      <c r="A1552" s="9" t="s">
        <v>52</v>
      </c>
      <c r="B1552" s="9" t="s">
        <v>23</v>
      </c>
      <c r="C1552" s="10">
        <v>46022</v>
      </c>
      <c r="D1552" s="10">
        <v>46022</v>
      </c>
      <c r="E1552" s="9" t="s">
        <v>2060</v>
      </c>
      <c r="F1552" s="9" t="s">
        <v>32</v>
      </c>
      <c r="G1552" s="9" t="s">
        <v>847</v>
      </c>
      <c r="H1552" s="11">
        <v>2432.59</v>
      </c>
      <c r="I1552" s="11">
        <v>2432.59</v>
      </c>
      <c r="J1552" s="11">
        <v>0</v>
      </c>
      <c r="K1552">
        <v>1</v>
      </c>
    </row>
    <row r="1553" spans="1:11" x14ac:dyDescent="0.25">
      <c r="A1553" s="9" t="s">
        <v>52</v>
      </c>
      <c r="B1553" s="9" t="s">
        <v>23</v>
      </c>
      <c r="C1553" s="10">
        <v>46022</v>
      </c>
      <c r="D1553" s="10">
        <v>46022</v>
      </c>
      <c r="E1553" s="9" t="s">
        <v>2061</v>
      </c>
      <c r="F1553" s="9" t="s">
        <v>32</v>
      </c>
      <c r="G1553" s="9" t="s">
        <v>379</v>
      </c>
      <c r="H1553" s="11">
        <v>7712.09</v>
      </c>
      <c r="I1553" s="11">
        <v>7712.09</v>
      </c>
      <c r="J1553" s="11">
        <v>0</v>
      </c>
      <c r="K1553">
        <v>1</v>
      </c>
    </row>
    <row r="1554" spans="1:11" x14ac:dyDescent="0.25">
      <c r="A1554" s="9" t="s">
        <v>52</v>
      </c>
      <c r="B1554" s="9" t="s">
        <v>23</v>
      </c>
      <c r="C1554" s="10">
        <v>46022</v>
      </c>
      <c r="D1554" s="10">
        <v>46022</v>
      </c>
      <c r="E1554" s="9" t="s">
        <v>2062</v>
      </c>
      <c r="F1554" s="9" t="s">
        <v>32</v>
      </c>
      <c r="G1554" s="9" t="s">
        <v>393</v>
      </c>
      <c r="H1554" s="11">
        <v>3331.02</v>
      </c>
      <c r="I1554" s="11">
        <v>3331.02</v>
      </c>
      <c r="J1554" s="11">
        <v>0</v>
      </c>
      <c r="K1554">
        <v>1</v>
      </c>
    </row>
    <row r="1555" spans="1:11" x14ac:dyDescent="0.25">
      <c r="A1555" s="9" t="s">
        <v>52</v>
      </c>
      <c r="B1555" s="9" t="s">
        <v>23</v>
      </c>
      <c r="C1555" s="10">
        <v>46022</v>
      </c>
      <c r="D1555" s="10">
        <v>46022</v>
      </c>
      <c r="E1555" s="9" t="s">
        <v>2063</v>
      </c>
      <c r="F1555" s="9" t="s">
        <v>32</v>
      </c>
      <c r="G1555" s="9" t="s">
        <v>118</v>
      </c>
      <c r="H1555" s="11">
        <v>1500.81</v>
      </c>
      <c r="I1555" s="11">
        <v>1500.81</v>
      </c>
      <c r="J1555" s="11">
        <v>0</v>
      </c>
      <c r="K1555">
        <v>1</v>
      </c>
    </row>
    <row r="1556" spans="1:11" x14ac:dyDescent="0.25">
      <c r="A1556" s="9" t="s">
        <v>52</v>
      </c>
      <c r="B1556" s="9" t="s">
        <v>23</v>
      </c>
      <c r="C1556" s="10">
        <v>46022</v>
      </c>
      <c r="D1556" s="10">
        <v>46022</v>
      </c>
      <c r="E1556" s="9" t="s">
        <v>2064</v>
      </c>
      <c r="F1556" s="9" t="s">
        <v>32</v>
      </c>
      <c r="G1556" s="9" t="s">
        <v>249</v>
      </c>
      <c r="H1556" s="11">
        <v>8367.1200000000008</v>
      </c>
      <c r="I1556" s="11">
        <v>8367.1200000000008</v>
      </c>
      <c r="J1556" s="11">
        <v>0</v>
      </c>
      <c r="K1556">
        <v>1</v>
      </c>
    </row>
    <row r="1557" spans="1:11" x14ac:dyDescent="0.25">
      <c r="A1557" s="9" t="s">
        <v>52</v>
      </c>
      <c r="B1557" s="9" t="s">
        <v>23</v>
      </c>
      <c r="C1557" s="10">
        <v>46022</v>
      </c>
      <c r="D1557" s="10">
        <v>46022</v>
      </c>
      <c r="E1557" s="9" t="s">
        <v>2065</v>
      </c>
      <c r="F1557" s="9" t="s">
        <v>32</v>
      </c>
      <c r="G1557" s="9" t="s">
        <v>247</v>
      </c>
      <c r="H1557" s="11">
        <v>2597.84</v>
      </c>
      <c r="I1557" s="11">
        <v>2597.84</v>
      </c>
      <c r="J1557" s="11">
        <v>0</v>
      </c>
      <c r="K1557">
        <v>1</v>
      </c>
    </row>
    <row r="1558" spans="1:11" x14ac:dyDescent="0.25">
      <c r="A1558" s="9" t="s">
        <v>52</v>
      </c>
      <c r="B1558" s="9" t="s">
        <v>23</v>
      </c>
      <c r="C1558" s="10">
        <v>46022</v>
      </c>
      <c r="D1558" s="10">
        <v>46022</v>
      </c>
      <c r="E1558" s="9" t="s">
        <v>2066</v>
      </c>
      <c r="F1558" s="9" t="s">
        <v>32</v>
      </c>
      <c r="G1558" s="9" t="s">
        <v>788</v>
      </c>
      <c r="H1558" s="11">
        <v>1755.81</v>
      </c>
      <c r="I1558" s="11">
        <v>1755.81</v>
      </c>
      <c r="J1558" s="11">
        <v>0</v>
      </c>
      <c r="K1558">
        <v>1</v>
      </c>
    </row>
    <row r="1559" spans="1:11" x14ac:dyDescent="0.25">
      <c r="A1559" s="9" t="s">
        <v>52</v>
      </c>
      <c r="B1559" s="9" t="s">
        <v>23</v>
      </c>
      <c r="C1559" s="10">
        <v>46022</v>
      </c>
      <c r="D1559" s="10">
        <v>46022</v>
      </c>
      <c r="E1559" s="9" t="s">
        <v>2067</v>
      </c>
      <c r="F1559" s="9" t="s">
        <v>32</v>
      </c>
      <c r="G1559" s="9" t="s">
        <v>243</v>
      </c>
      <c r="H1559" s="11">
        <v>11947.74</v>
      </c>
      <c r="I1559" s="11">
        <v>11947.74</v>
      </c>
      <c r="J1559" s="11">
        <v>0</v>
      </c>
      <c r="K1559">
        <v>1</v>
      </c>
    </row>
    <row r="1560" spans="1:11" x14ac:dyDescent="0.25">
      <c r="A1560" s="9" t="s">
        <v>52</v>
      </c>
      <c r="B1560" s="9" t="s">
        <v>23</v>
      </c>
      <c r="C1560" s="10">
        <v>46022</v>
      </c>
      <c r="D1560" s="10">
        <v>46022</v>
      </c>
      <c r="E1560" s="9" t="s">
        <v>2068</v>
      </c>
      <c r="F1560" s="9" t="s">
        <v>32</v>
      </c>
      <c r="G1560" s="9" t="s">
        <v>373</v>
      </c>
      <c r="H1560" s="11">
        <v>10976.83</v>
      </c>
      <c r="I1560" s="11">
        <v>10976.83</v>
      </c>
      <c r="J1560" s="11">
        <v>0</v>
      </c>
      <c r="K1560">
        <v>1</v>
      </c>
    </row>
    <row r="1561" spans="1:11" x14ac:dyDescent="0.25">
      <c r="A1561" s="9" t="s">
        <v>52</v>
      </c>
      <c r="B1561" s="9" t="s">
        <v>23</v>
      </c>
      <c r="C1561" s="10">
        <v>46022</v>
      </c>
      <c r="D1561" s="10">
        <v>46022</v>
      </c>
      <c r="E1561" s="9" t="s">
        <v>2069</v>
      </c>
      <c r="F1561" s="9" t="s">
        <v>32</v>
      </c>
      <c r="G1561" s="9" t="s">
        <v>245</v>
      </c>
      <c r="H1561" s="11">
        <v>3655.95</v>
      </c>
      <c r="I1561" s="11">
        <v>3655.95</v>
      </c>
      <c r="J1561" s="11">
        <v>0</v>
      </c>
      <c r="K1561">
        <v>1</v>
      </c>
    </row>
    <row r="1562" spans="1:11" x14ac:dyDescent="0.25">
      <c r="A1562" s="9" t="s">
        <v>52</v>
      </c>
      <c r="B1562" s="9" t="s">
        <v>23</v>
      </c>
      <c r="C1562" s="10">
        <v>46022</v>
      </c>
      <c r="D1562" s="10">
        <v>46022</v>
      </c>
      <c r="E1562" s="9" t="s">
        <v>2070</v>
      </c>
      <c r="F1562" s="9" t="s">
        <v>32</v>
      </c>
      <c r="G1562" s="9" t="s">
        <v>66</v>
      </c>
      <c r="H1562" s="11">
        <v>4406.8599999999997</v>
      </c>
      <c r="I1562" s="11">
        <v>4406.8599999999997</v>
      </c>
      <c r="J1562" s="11">
        <v>0</v>
      </c>
      <c r="K1562">
        <v>1</v>
      </c>
    </row>
    <row r="1563" spans="1:11" x14ac:dyDescent="0.25">
      <c r="A1563" s="9" t="s">
        <v>52</v>
      </c>
      <c r="B1563" s="9" t="s">
        <v>23</v>
      </c>
      <c r="C1563" s="10">
        <v>46022</v>
      </c>
      <c r="D1563" s="10">
        <v>46022</v>
      </c>
      <c r="E1563" s="9" t="s">
        <v>2071</v>
      </c>
      <c r="F1563" s="9" t="s">
        <v>32</v>
      </c>
      <c r="G1563" s="9" t="s">
        <v>1530</v>
      </c>
      <c r="H1563" s="11">
        <v>2635.07</v>
      </c>
      <c r="I1563" s="11">
        <v>2635.07</v>
      </c>
      <c r="J1563" s="11">
        <v>0</v>
      </c>
      <c r="K1563">
        <v>1</v>
      </c>
    </row>
    <row r="1564" spans="1:11" x14ac:dyDescent="0.25">
      <c r="A1564" s="9" t="s">
        <v>52</v>
      </c>
      <c r="B1564" s="9" t="s">
        <v>23</v>
      </c>
      <c r="C1564" s="10">
        <v>46022</v>
      </c>
      <c r="D1564" s="10">
        <v>46022</v>
      </c>
      <c r="E1564" s="9" t="s">
        <v>2072</v>
      </c>
      <c r="F1564" s="9" t="s">
        <v>32</v>
      </c>
      <c r="G1564" s="9" t="s">
        <v>239</v>
      </c>
      <c r="H1564" s="11">
        <v>3068.7</v>
      </c>
      <c r="I1564" s="11">
        <v>3068.7</v>
      </c>
      <c r="J1564" s="11">
        <v>0</v>
      </c>
      <c r="K1564">
        <v>1</v>
      </c>
    </row>
    <row r="1565" spans="1:11" x14ac:dyDescent="0.25">
      <c r="A1565" s="9" t="s">
        <v>52</v>
      </c>
      <c r="B1565" s="9" t="s">
        <v>23</v>
      </c>
      <c r="C1565" s="10">
        <v>46022</v>
      </c>
      <c r="D1565" s="10">
        <v>46022</v>
      </c>
      <c r="E1565" s="9" t="s">
        <v>2073</v>
      </c>
      <c r="F1565" s="9" t="s">
        <v>32</v>
      </c>
      <c r="G1565" s="9" t="s">
        <v>266</v>
      </c>
      <c r="H1565" s="11">
        <v>9636.7199999999993</v>
      </c>
      <c r="I1565" s="11">
        <v>9636.7199999999993</v>
      </c>
      <c r="J1565" s="11">
        <v>0</v>
      </c>
      <c r="K1565">
        <v>1</v>
      </c>
    </row>
    <row r="1566" spans="1:11" x14ac:dyDescent="0.25">
      <c r="A1566" s="9" t="s">
        <v>52</v>
      </c>
      <c r="B1566" s="9" t="s">
        <v>23</v>
      </c>
      <c r="C1566" s="10">
        <v>46022</v>
      </c>
      <c r="D1566" s="10">
        <v>46022</v>
      </c>
      <c r="E1566" s="9" t="s">
        <v>2074</v>
      </c>
      <c r="F1566" s="9" t="s">
        <v>32</v>
      </c>
      <c r="G1566" s="9" t="s">
        <v>307</v>
      </c>
      <c r="H1566" s="11">
        <v>3545.22</v>
      </c>
      <c r="I1566" s="11">
        <v>3545.22</v>
      </c>
      <c r="J1566" s="11">
        <v>0</v>
      </c>
      <c r="K1566">
        <v>1</v>
      </c>
    </row>
    <row r="1567" spans="1:11" x14ac:dyDescent="0.25">
      <c r="A1567" s="9" t="s">
        <v>52</v>
      </c>
      <c r="B1567" s="9" t="s">
        <v>23</v>
      </c>
      <c r="C1567" s="10">
        <v>46022</v>
      </c>
      <c r="D1567" s="10">
        <v>46022</v>
      </c>
      <c r="E1567" s="9" t="s">
        <v>2075</v>
      </c>
      <c r="F1567" s="9" t="s">
        <v>32</v>
      </c>
      <c r="G1567" s="9" t="s">
        <v>270</v>
      </c>
      <c r="H1567" s="11">
        <v>7098.96</v>
      </c>
      <c r="I1567" s="11">
        <v>7098.96</v>
      </c>
      <c r="J1567" s="11">
        <v>0</v>
      </c>
      <c r="K1567">
        <v>1</v>
      </c>
    </row>
    <row r="1568" spans="1:11" x14ac:dyDescent="0.25">
      <c r="A1568" s="9" t="s">
        <v>52</v>
      </c>
      <c r="B1568" s="9" t="s">
        <v>23</v>
      </c>
      <c r="C1568" s="10">
        <v>46022</v>
      </c>
      <c r="D1568" s="10">
        <v>46022</v>
      </c>
      <c r="E1568" s="9" t="s">
        <v>2076</v>
      </c>
      <c r="F1568" s="9" t="s">
        <v>141</v>
      </c>
      <c r="G1568" s="9" t="s">
        <v>2077</v>
      </c>
      <c r="H1568" s="11">
        <v>-27784.68</v>
      </c>
      <c r="I1568" s="11">
        <v>-27784.68</v>
      </c>
      <c r="J1568" s="11">
        <v>0</v>
      </c>
      <c r="K1568">
        <v>1</v>
      </c>
    </row>
    <row r="1569" spans="1:11" x14ac:dyDescent="0.25">
      <c r="A1569" s="9" t="s">
        <v>52</v>
      </c>
      <c r="B1569" s="9" t="s">
        <v>23</v>
      </c>
      <c r="C1569" s="10">
        <v>46022</v>
      </c>
      <c r="D1569" s="10">
        <v>46022</v>
      </c>
      <c r="E1569" s="9" t="s">
        <v>2078</v>
      </c>
      <c r="F1569" s="9" t="s">
        <v>32</v>
      </c>
      <c r="G1569" s="9" t="s">
        <v>464</v>
      </c>
      <c r="H1569" s="11">
        <v>6159.37</v>
      </c>
      <c r="I1569" s="11">
        <v>6159.37</v>
      </c>
      <c r="J1569" s="11">
        <v>0</v>
      </c>
      <c r="K1569">
        <v>1</v>
      </c>
    </row>
    <row r="1570" spans="1:11" x14ac:dyDescent="0.25">
      <c r="A1570" s="9" t="s">
        <v>52</v>
      </c>
      <c r="B1570" s="9" t="s">
        <v>23</v>
      </c>
      <c r="C1570" s="10">
        <v>46022</v>
      </c>
      <c r="D1570" s="10">
        <v>46022</v>
      </c>
      <c r="E1570" s="9" t="s">
        <v>2079</v>
      </c>
      <c r="F1570" s="9" t="s">
        <v>32</v>
      </c>
      <c r="G1570" s="9" t="s">
        <v>309</v>
      </c>
      <c r="H1570" s="11">
        <v>4522.66</v>
      </c>
      <c r="I1570" s="11">
        <v>4522.66</v>
      </c>
      <c r="J1570" s="11">
        <v>0</v>
      </c>
      <c r="K1570">
        <v>1</v>
      </c>
    </row>
    <row r="1571" spans="1:11" x14ac:dyDescent="0.25">
      <c r="A1571" s="9" t="s">
        <v>52</v>
      </c>
      <c r="B1571" s="9" t="s">
        <v>23</v>
      </c>
      <c r="C1571" s="10">
        <v>46022</v>
      </c>
      <c r="D1571" s="10">
        <v>46022</v>
      </c>
      <c r="E1571" s="9" t="s">
        <v>2080</v>
      </c>
      <c r="F1571" s="9" t="s">
        <v>32</v>
      </c>
      <c r="G1571" s="9" t="s">
        <v>66</v>
      </c>
      <c r="H1571" s="11">
        <v>2102.59</v>
      </c>
      <c r="I1571" s="11">
        <v>2102.59</v>
      </c>
      <c r="J1571" s="11">
        <v>0</v>
      </c>
      <c r="K1571">
        <v>1</v>
      </c>
    </row>
    <row r="1572" spans="1:11" x14ac:dyDescent="0.25">
      <c r="A1572" s="9" t="s">
        <v>52</v>
      </c>
      <c r="B1572" s="9" t="s">
        <v>23</v>
      </c>
      <c r="C1572" s="10">
        <v>46022</v>
      </c>
      <c r="D1572" s="10">
        <v>46022</v>
      </c>
      <c r="E1572" s="9" t="s">
        <v>2081</v>
      </c>
      <c r="F1572" s="9" t="s">
        <v>32</v>
      </c>
      <c r="G1572" s="9" t="s">
        <v>239</v>
      </c>
      <c r="H1572" s="11">
        <v>1368.93</v>
      </c>
      <c r="I1572" s="11">
        <v>1368.93</v>
      </c>
      <c r="J1572" s="11">
        <v>0</v>
      </c>
      <c r="K1572">
        <v>1</v>
      </c>
    </row>
    <row r="1573" spans="1:11" x14ac:dyDescent="0.25">
      <c r="A1573" s="9" t="s">
        <v>52</v>
      </c>
      <c r="B1573" s="9" t="s">
        <v>23</v>
      </c>
      <c r="C1573" s="10">
        <v>46022</v>
      </c>
      <c r="D1573" s="10">
        <v>46022</v>
      </c>
      <c r="E1573" s="9" t="s">
        <v>2082</v>
      </c>
      <c r="F1573" s="9" t="s">
        <v>32</v>
      </c>
      <c r="G1573" s="9" t="s">
        <v>226</v>
      </c>
      <c r="H1573" s="11">
        <v>4832.22</v>
      </c>
      <c r="I1573" s="11">
        <v>4832.22</v>
      </c>
      <c r="J1573" s="11">
        <v>0</v>
      </c>
      <c r="K1573">
        <v>1</v>
      </c>
    </row>
    <row r="1574" spans="1:11" x14ac:dyDescent="0.25">
      <c r="A1574" s="9" t="s">
        <v>52</v>
      </c>
      <c r="B1574" s="9" t="s">
        <v>23</v>
      </c>
      <c r="C1574" s="10">
        <v>46022</v>
      </c>
      <c r="D1574" s="10">
        <v>46022</v>
      </c>
      <c r="E1574" s="9" t="s">
        <v>2083</v>
      </c>
      <c r="F1574" s="9" t="s">
        <v>32</v>
      </c>
      <c r="G1574" s="9" t="s">
        <v>122</v>
      </c>
      <c r="H1574" s="11">
        <v>9180.57</v>
      </c>
      <c r="I1574" s="11">
        <v>9180.57</v>
      </c>
      <c r="J1574" s="11">
        <v>0</v>
      </c>
      <c r="K1574">
        <v>1</v>
      </c>
    </row>
    <row r="1575" spans="1:11" x14ac:dyDescent="0.25">
      <c r="A1575" s="9" t="s">
        <v>52</v>
      </c>
      <c r="B1575" s="9" t="s">
        <v>23</v>
      </c>
      <c r="C1575" s="10">
        <v>46022</v>
      </c>
      <c r="D1575" s="10">
        <v>46022</v>
      </c>
      <c r="E1575" s="9" t="s">
        <v>2084</v>
      </c>
      <c r="F1575" s="9" t="s">
        <v>32</v>
      </c>
      <c r="G1575" s="9" t="s">
        <v>243</v>
      </c>
      <c r="H1575" s="11">
        <v>20550.21</v>
      </c>
      <c r="I1575" s="11">
        <v>20550.21</v>
      </c>
      <c r="J1575" s="11">
        <v>0</v>
      </c>
      <c r="K1575">
        <v>1</v>
      </c>
    </row>
    <row r="1576" spans="1:11" x14ac:dyDescent="0.25">
      <c r="A1576" s="9" t="s">
        <v>52</v>
      </c>
      <c r="B1576" s="9" t="s">
        <v>23</v>
      </c>
      <c r="C1576" s="10">
        <v>46022</v>
      </c>
      <c r="D1576" s="10">
        <v>46022</v>
      </c>
      <c r="E1576" s="9" t="s">
        <v>2085</v>
      </c>
      <c r="F1576" s="9" t="s">
        <v>32</v>
      </c>
      <c r="G1576" s="9" t="s">
        <v>391</v>
      </c>
      <c r="H1576" s="11">
        <v>3573.27</v>
      </c>
      <c r="I1576" s="11">
        <v>3573.27</v>
      </c>
      <c r="J1576" s="11">
        <v>0</v>
      </c>
      <c r="K1576">
        <v>1</v>
      </c>
    </row>
    <row r="1577" spans="1:11" x14ac:dyDescent="0.25">
      <c r="A1577" s="9" t="s">
        <v>52</v>
      </c>
      <c r="B1577" s="9" t="s">
        <v>23</v>
      </c>
      <c r="C1577" s="10">
        <v>46022</v>
      </c>
      <c r="D1577" s="10">
        <v>46022</v>
      </c>
      <c r="E1577" s="9" t="s">
        <v>2086</v>
      </c>
      <c r="F1577" s="9" t="s">
        <v>32</v>
      </c>
      <c r="G1577" s="9" t="s">
        <v>309</v>
      </c>
      <c r="H1577" s="11">
        <v>4711.3999999999996</v>
      </c>
      <c r="I1577" s="11">
        <v>4711.3999999999996</v>
      </c>
      <c r="J1577" s="11">
        <v>0</v>
      </c>
      <c r="K1577">
        <v>1</v>
      </c>
    </row>
    <row r="1578" spans="1:11" x14ac:dyDescent="0.25">
      <c r="A1578" s="9" t="s">
        <v>52</v>
      </c>
      <c r="B1578" s="9" t="s">
        <v>23</v>
      </c>
      <c r="C1578" s="10">
        <v>46022</v>
      </c>
      <c r="D1578" s="10">
        <v>46022</v>
      </c>
      <c r="E1578" s="9" t="s">
        <v>2087</v>
      </c>
      <c r="F1578" s="9" t="s">
        <v>32</v>
      </c>
      <c r="G1578" s="9" t="s">
        <v>450</v>
      </c>
      <c r="H1578" s="11">
        <v>10878.94</v>
      </c>
      <c r="I1578" s="11">
        <v>10878.94</v>
      </c>
      <c r="J1578" s="11">
        <v>0</v>
      </c>
      <c r="K1578">
        <v>1</v>
      </c>
    </row>
    <row r="1579" spans="1:11" x14ac:dyDescent="0.25">
      <c r="A1579" s="9" t="s">
        <v>52</v>
      </c>
      <c r="B1579" s="9" t="s">
        <v>23</v>
      </c>
      <c r="C1579" s="10">
        <v>46022</v>
      </c>
      <c r="D1579" s="10">
        <v>46022</v>
      </c>
      <c r="E1579" s="9" t="s">
        <v>2088</v>
      </c>
      <c r="F1579" s="9" t="s">
        <v>32</v>
      </c>
      <c r="G1579" s="9" t="s">
        <v>186</v>
      </c>
      <c r="H1579" s="11">
        <v>630.55999999999995</v>
      </c>
      <c r="I1579" s="11">
        <v>630.55999999999995</v>
      </c>
      <c r="J1579" s="11">
        <v>0</v>
      </c>
      <c r="K1579">
        <v>1</v>
      </c>
    </row>
    <row r="1580" spans="1:11" x14ac:dyDescent="0.25">
      <c r="A1580" s="9" t="s">
        <v>52</v>
      </c>
      <c r="B1580" s="9" t="s">
        <v>23</v>
      </c>
      <c r="C1580" s="10">
        <v>46022</v>
      </c>
      <c r="D1580" s="10">
        <v>46022</v>
      </c>
      <c r="E1580" s="9" t="s">
        <v>2089</v>
      </c>
      <c r="F1580" s="9" t="s">
        <v>32</v>
      </c>
      <c r="G1580" s="9" t="s">
        <v>268</v>
      </c>
      <c r="H1580" s="11">
        <v>16864.75</v>
      </c>
      <c r="I1580" s="11">
        <v>16864.75</v>
      </c>
      <c r="J1580" s="11">
        <v>0</v>
      </c>
      <c r="K1580">
        <v>1</v>
      </c>
    </row>
    <row r="1581" spans="1:11" x14ac:dyDescent="0.25">
      <c r="A1581" s="9" t="s">
        <v>52</v>
      </c>
      <c r="B1581" s="9" t="s">
        <v>23</v>
      </c>
      <c r="C1581" s="10">
        <v>46022</v>
      </c>
      <c r="D1581" s="10">
        <v>46022</v>
      </c>
      <c r="E1581" s="9" t="s">
        <v>2090</v>
      </c>
      <c r="F1581" s="9" t="s">
        <v>32</v>
      </c>
      <c r="G1581" s="9" t="s">
        <v>474</v>
      </c>
      <c r="H1581" s="11">
        <v>5581.12</v>
      </c>
      <c r="I1581" s="11">
        <v>5581.12</v>
      </c>
      <c r="J1581" s="11">
        <v>0</v>
      </c>
      <c r="K1581">
        <v>1</v>
      </c>
    </row>
    <row r="1582" spans="1:11" x14ac:dyDescent="0.25">
      <c r="A1582" s="9" t="s">
        <v>52</v>
      </c>
      <c r="B1582" s="9" t="s">
        <v>23</v>
      </c>
      <c r="C1582" s="10">
        <v>46022</v>
      </c>
      <c r="D1582" s="10">
        <v>46022</v>
      </c>
      <c r="E1582" s="9" t="s">
        <v>2091</v>
      </c>
      <c r="F1582" s="9" t="s">
        <v>32</v>
      </c>
      <c r="G1582" s="9" t="s">
        <v>112</v>
      </c>
      <c r="H1582" s="11">
        <v>1884.2</v>
      </c>
      <c r="I1582" s="11">
        <v>1884.2</v>
      </c>
      <c r="J1582" s="11">
        <v>0</v>
      </c>
      <c r="K1582">
        <v>1</v>
      </c>
    </row>
    <row r="1583" spans="1:11" x14ac:dyDescent="0.25">
      <c r="A1583" s="9" t="s">
        <v>52</v>
      </c>
      <c r="B1583" s="9" t="s">
        <v>23</v>
      </c>
      <c r="C1583" s="10">
        <v>46022</v>
      </c>
      <c r="D1583" s="10">
        <v>46022</v>
      </c>
      <c r="E1583" s="9" t="s">
        <v>2092</v>
      </c>
      <c r="F1583" s="9" t="s">
        <v>32</v>
      </c>
      <c r="G1583" s="9" t="s">
        <v>945</v>
      </c>
      <c r="H1583" s="11">
        <v>1192.04</v>
      </c>
      <c r="I1583" s="11">
        <v>1192.04</v>
      </c>
      <c r="J1583" s="11">
        <v>0</v>
      </c>
      <c r="K1583">
        <v>1</v>
      </c>
    </row>
    <row r="1584" spans="1:11" x14ac:dyDescent="0.25">
      <c r="A1584" s="9" t="s">
        <v>52</v>
      </c>
      <c r="B1584" s="9" t="s">
        <v>23</v>
      </c>
      <c r="C1584" s="10">
        <v>46022</v>
      </c>
      <c r="D1584" s="10">
        <v>46022</v>
      </c>
      <c r="E1584" s="9" t="s">
        <v>2093</v>
      </c>
      <c r="F1584" s="9" t="s">
        <v>32</v>
      </c>
      <c r="G1584" s="9" t="s">
        <v>788</v>
      </c>
      <c r="H1584" s="11">
        <v>1895.58</v>
      </c>
      <c r="I1584" s="11">
        <v>1895.58</v>
      </c>
      <c r="J1584" s="11">
        <v>0</v>
      </c>
      <c r="K1584">
        <v>1</v>
      </c>
    </row>
    <row r="1585" spans="1:11" x14ac:dyDescent="0.25">
      <c r="A1585" s="9" t="s">
        <v>52</v>
      </c>
      <c r="B1585" s="9" t="s">
        <v>23</v>
      </c>
      <c r="C1585" s="10">
        <v>46022</v>
      </c>
      <c r="D1585" s="10">
        <v>46022</v>
      </c>
      <c r="E1585" s="9" t="s">
        <v>2094</v>
      </c>
      <c r="F1585" s="9" t="s">
        <v>32</v>
      </c>
      <c r="G1585" s="9" t="s">
        <v>753</v>
      </c>
      <c r="H1585" s="11">
        <v>4233.5600000000004</v>
      </c>
      <c r="I1585" s="11">
        <v>4233.5600000000004</v>
      </c>
      <c r="J1585" s="11">
        <v>0</v>
      </c>
      <c r="K1585">
        <v>1</v>
      </c>
    </row>
    <row r="1586" spans="1:11" x14ac:dyDescent="0.25">
      <c r="A1586" s="9" t="s">
        <v>52</v>
      </c>
      <c r="B1586" s="9" t="s">
        <v>23</v>
      </c>
      <c r="C1586" s="10">
        <v>46022</v>
      </c>
      <c r="D1586" s="10">
        <v>46022</v>
      </c>
      <c r="E1586" s="9" t="s">
        <v>2095</v>
      </c>
      <c r="F1586" s="9" t="s">
        <v>32</v>
      </c>
      <c r="G1586" s="9" t="s">
        <v>70</v>
      </c>
      <c r="H1586" s="11">
        <v>1708.18</v>
      </c>
      <c r="I1586" s="11">
        <v>1708.18</v>
      </c>
      <c r="J1586" s="11">
        <v>0</v>
      </c>
      <c r="K1586">
        <v>1</v>
      </c>
    </row>
    <row r="1587" spans="1:11" x14ac:dyDescent="0.25">
      <c r="A1587" s="9" t="s">
        <v>52</v>
      </c>
      <c r="B1587" s="9" t="s">
        <v>23</v>
      </c>
      <c r="C1587" s="10">
        <v>46022</v>
      </c>
      <c r="D1587" s="10">
        <v>46022</v>
      </c>
      <c r="E1587" s="9" t="s">
        <v>2096</v>
      </c>
      <c r="F1587" s="9" t="s">
        <v>32</v>
      </c>
      <c r="G1587" s="9" t="s">
        <v>74</v>
      </c>
      <c r="H1587" s="11">
        <v>2674.28</v>
      </c>
      <c r="I1587" s="11">
        <v>2674.28</v>
      </c>
      <c r="J1587" s="11">
        <v>0</v>
      </c>
      <c r="K1587">
        <v>1</v>
      </c>
    </row>
    <row r="1588" spans="1:11" x14ac:dyDescent="0.25">
      <c r="A1588" s="9" t="s">
        <v>52</v>
      </c>
      <c r="B1588" s="9" t="s">
        <v>23</v>
      </c>
      <c r="C1588" s="10">
        <v>46022</v>
      </c>
      <c r="D1588" s="10">
        <v>46022</v>
      </c>
      <c r="E1588" s="9" t="s">
        <v>2097</v>
      </c>
      <c r="F1588" s="9" t="s">
        <v>32</v>
      </c>
      <c r="G1588" s="9" t="s">
        <v>78</v>
      </c>
      <c r="H1588" s="11">
        <v>2869.63</v>
      </c>
      <c r="I1588" s="11">
        <v>2869.63</v>
      </c>
      <c r="J1588" s="11">
        <v>0</v>
      </c>
      <c r="K1588">
        <v>1</v>
      </c>
    </row>
    <row r="1589" spans="1:11" x14ac:dyDescent="0.25">
      <c r="A1589" s="9" t="s">
        <v>52</v>
      </c>
      <c r="B1589" s="9" t="s">
        <v>23</v>
      </c>
      <c r="C1589" s="10">
        <v>46022</v>
      </c>
      <c r="D1589" s="10">
        <v>46022</v>
      </c>
      <c r="E1589" s="9" t="s">
        <v>2098</v>
      </c>
      <c r="F1589" s="9" t="s">
        <v>32</v>
      </c>
      <c r="G1589" s="9" t="s">
        <v>1980</v>
      </c>
      <c r="H1589" s="11">
        <v>3432.84</v>
      </c>
      <c r="I1589" s="11">
        <v>3432.84</v>
      </c>
      <c r="J1589" s="11">
        <v>0</v>
      </c>
      <c r="K1589">
        <v>1</v>
      </c>
    </row>
    <row r="1590" spans="1:11" x14ac:dyDescent="0.25">
      <c r="A1590" s="9" t="s">
        <v>52</v>
      </c>
      <c r="B1590" s="9" t="s">
        <v>23</v>
      </c>
      <c r="C1590" s="10">
        <v>46022</v>
      </c>
      <c r="D1590" s="10">
        <v>46022</v>
      </c>
      <c r="E1590" s="9" t="s">
        <v>2099</v>
      </c>
      <c r="F1590" s="9" t="s">
        <v>32</v>
      </c>
      <c r="G1590" s="9" t="s">
        <v>184</v>
      </c>
      <c r="H1590" s="11">
        <v>1175.76</v>
      </c>
      <c r="I1590" s="11">
        <v>1175.76</v>
      </c>
      <c r="J1590" s="11">
        <v>0</v>
      </c>
      <c r="K1590">
        <v>1</v>
      </c>
    </row>
    <row r="1591" spans="1:11" x14ac:dyDescent="0.25">
      <c r="A1591" s="9" t="s">
        <v>52</v>
      </c>
      <c r="B1591" s="9" t="s">
        <v>23</v>
      </c>
      <c r="C1591" s="10">
        <v>46022</v>
      </c>
      <c r="D1591" s="10">
        <v>46022</v>
      </c>
      <c r="E1591" s="9" t="s">
        <v>2100</v>
      </c>
      <c r="F1591" s="9" t="s">
        <v>32</v>
      </c>
      <c r="G1591" s="9" t="s">
        <v>220</v>
      </c>
      <c r="H1591" s="11">
        <v>1499.92</v>
      </c>
      <c r="I1591" s="11">
        <v>1499.92</v>
      </c>
      <c r="J1591" s="11">
        <v>0</v>
      </c>
      <c r="K1591">
        <v>1</v>
      </c>
    </row>
    <row r="1592" spans="1:11" x14ac:dyDescent="0.25">
      <c r="A1592" s="9" t="s">
        <v>52</v>
      </c>
      <c r="B1592" s="9" t="s">
        <v>23</v>
      </c>
      <c r="C1592" s="10">
        <v>46022</v>
      </c>
      <c r="D1592" s="10">
        <v>46022</v>
      </c>
      <c r="E1592" s="9" t="s">
        <v>2101</v>
      </c>
      <c r="F1592" s="9" t="s">
        <v>32</v>
      </c>
      <c r="G1592" s="9" t="s">
        <v>2102</v>
      </c>
      <c r="H1592" s="11">
        <v>2821.94</v>
      </c>
      <c r="I1592" s="11">
        <v>2821.94</v>
      </c>
      <c r="J1592" s="11">
        <v>0</v>
      </c>
      <c r="K1592">
        <v>1</v>
      </c>
    </row>
    <row r="1593" spans="1:11" x14ac:dyDescent="0.25">
      <c r="A1593" s="9" t="s">
        <v>52</v>
      </c>
      <c r="B1593" s="9" t="s">
        <v>23</v>
      </c>
      <c r="C1593" s="10">
        <v>46022</v>
      </c>
      <c r="D1593" s="10">
        <v>46022</v>
      </c>
      <c r="E1593" s="9" t="s">
        <v>2103</v>
      </c>
      <c r="F1593" s="9" t="s">
        <v>32</v>
      </c>
      <c r="G1593" s="9" t="s">
        <v>1216</v>
      </c>
      <c r="H1593" s="11">
        <v>1761.52</v>
      </c>
      <c r="I1593" s="11">
        <v>1761.52</v>
      </c>
      <c r="J1593" s="11">
        <v>0</v>
      </c>
      <c r="K1593">
        <v>1</v>
      </c>
    </row>
    <row r="1594" spans="1:11" x14ac:dyDescent="0.25">
      <c r="A1594" s="9" t="s">
        <v>52</v>
      </c>
      <c r="B1594" s="9" t="s">
        <v>23</v>
      </c>
      <c r="C1594" s="10">
        <v>46022</v>
      </c>
      <c r="D1594" s="10">
        <v>46022</v>
      </c>
      <c r="E1594" s="9" t="s">
        <v>2104</v>
      </c>
      <c r="F1594" s="9" t="s">
        <v>32</v>
      </c>
      <c r="G1594" s="9" t="s">
        <v>770</v>
      </c>
      <c r="H1594" s="11">
        <v>4169.21</v>
      </c>
      <c r="I1594" s="11">
        <v>4169.21</v>
      </c>
      <c r="J1594" s="11">
        <v>0</v>
      </c>
      <c r="K1594">
        <v>1</v>
      </c>
    </row>
    <row r="1595" spans="1:11" x14ac:dyDescent="0.25">
      <c r="A1595" s="9" t="s">
        <v>52</v>
      </c>
      <c r="B1595" s="9" t="s">
        <v>23</v>
      </c>
      <c r="C1595" s="10">
        <v>46022</v>
      </c>
      <c r="D1595" s="10">
        <v>46022</v>
      </c>
      <c r="E1595" s="9" t="s">
        <v>2105</v>
      </c>
      <c r="F1595" s="9" t="s">
        <v>32</v>
      </c>
      <c r="G1595" s="9" t="s">
        <v>2106</v>
      </c>
      <c r="H1595" s="11">
        <v>2737.61</v>
      </c>
      <c r="I1595" s="11">
        <v>2737.61</v>
      </c>
      <c r="J1595" s="11">
        <v>0</v>
      </c>
      <c r="K1595">
        <v>1</v>
      </c>
    </row>
    <row r="1596" spans="1:11" x14ac:dyDescent="0.25">
      <c r="A1596" s="9" t="s">
        <v>52</v>
      </c>
      <c r="B1596" s="9" t="s">
        <v>23</v>
      </c>
      <c r="C1596" s="10">
        <v>46022</v>
      </c>
      <c r="D1596" s="10">
        <v>46022</v>
      </c>
      <c r="E1596" s="9" t="s">
        <v>2107</v>
      </c>
      <c r="F1596" s="9" t="s">
        <v>32</v>
      </c>
      <c r="G1596" s="9" t="s">
        <v>82</v>
      </c>
      <c r="H1596" s="11">
        <v>1755.14</v>
      </c>
      <c r="I1596" s="11">
        <v>1755.14</v>
      </c>
      <c r="J1596" s="11">
        <v>0</v>
      </c>
      <c r="K1596">
        <v>1</v>
      </c>
    </row>
    <row r="1597" spans="1:11" x14ac:dyDescent="0.25">
      <c r="A1597" s="9" t="s">
        <v>52</v>
      </c>
      <c r="B1597" s="9" t="s">
        <v>23</v>
      </c>
      <c r="C1597" s="10">
        <v>46022</v>
      </c>
      <c r="D1597" s="10">
        <v>46022</v>
      </c>
      <c r="E1597" s="9" t="s">
        <v>2108</v>
      </c>
      <c r="F1597" s="9" t="s">
        <v>32</v>
      </c>
      <c r="G1597" s="9" t="s">
        <v>1064</v>
      </c>
      <c r="H1597" s="11">
        <v>1569.44</v>
      </c>
      <c r="I1597" s="11">
        <v>1569.44</v>
      </c>
      <c r="J1597" s="11">
        <v>0</v>
      </c>
      <c r="K1597">
        <v>1</v>
      </c>
    </row>
    <row r="1598" spans="1:11" x14ac:dyDescent="0.25">
      <c r="A1598" s="9" t="s">
        <v>52</v>
      </c>
      <c r="B1598" s="9" t="s">
        <v>23</v>
      </c>
      <c r="C1598" s="10">
        <v>46022</v>
      </c>
      <c r="D1598" s="10">
        <v>46022</v>
      </c>
      <c r="E1598" s="9" t="s">
        <v>2109</v>
      </c>
      <c r="F1598" s="9" t="s">
        <v>32</v>
      </c>
      <c r="G1598" s="9" t="s">
        <v>37</v>
      </c>
      <c r="H1598" s="11">
        <v>3269.86</v>
      </c>
      <c r="I1598" s="11">
        <v>3269.86</v>
      </c>
      <c r="J1598" s="11">
        <v>0</v>
      </c>
      <c r="K1598">
        <v>1</v>
      </c>
    </row>
    <row r="1599" spans="1:11" x14ac:dyDescent="0.25">
      <c r="A1599" s="9" t="s">
        <v>52</v>
      </c>
      <c r="B1599" s="9" t="s">
        <v>23</v>
      </c>
      <c r="C1599" s="10">
        <v>46022</v>
      </c>
      <c r="D1599" s="10">
        <v>46022</v>
      </c>
      <c r="E1599" s="9" t="s">
        <v>2110</v>
      </c>
      <c r="F1599" s="9" t="s">
        <v>32</v>
      </c>
      <c r="G1599" s="9" t="s">
        <v>129</v>
      </c>
      <c r="H1599" s="11">
        <v>5415.65</v>
      </c>
      <c r="I1599" s="11">
        <v>5415.65</v>
      </c>
      <c r="J1599" s="11">
        <v>0</v>
      </c>
      <c r="K1599">
        <v>1</v>
      </c>
    </row>
    <row r="1600" spans="1:11" x14ac:dyDescent="0.25">
      <c r="A1600" s="9" t="s">
        <v>52</v>
      </c>
      <c r="B1600" s="9" t="s">
        <v>23</v>
      </c>
      <c r="C1600" s="10">
        <v>46022</v>
      </c>
      <c r="D1600" s="10">
        <v>46022</v>
      </c>
      <c r="E1600" s="9" t="s">
        <v>2111</v>
      </c>
      <c r="F1600" s="9" t="s">
        <v>32</v>
      </c>
      <c r="G1600" s="9" t="s">
        <v>297</v>
      </c>
      <c r="H1600" s="11">
        <v>4335.41</v>
      </c>
      <c r="I1600" s="11">
        <v>4335.41</v>
      </c>
      <c r="J1600" s="11">
        <v>0</v>
      </c>
      <c r="K1600">
        <v>1</v>
      </c>
    </row>
    <row r="1601" spans="1:11" x14ac:dyDescent="0.25">
      <c r="A1601" s="9" t="s">
        <v>52</v>
      </c>
      <c r="B1601" s="9" t="s">
        <v>23</v>
      </c>
      <c r="C1601" s="10">
        <v>46022</v>
      </c>
      <c r="D1601" s="10">
        <v>46022</v>
      </c>
      <c r="E1601" s="9" t="s">
        <v>2112</v>
      </c>
      <c r="F1601" s="9" t="s">
        <v>32</v>
      </c>
      <c r="G1601" s="9" t="s">
        <v>281</v>
      </c>
      <c r="H1601" s="11">
        <v>11723.55</v>
      </c>
      <c r="I1601" s="11">
        <v>11723.55</v>
      </c>
      <c r="J1601" s="11">
        <v>0</v>
      </c>
      <c r="K1601">
        <v>1</v>
      </c>
    </row>
    <row r="1602" spans="1:11" x14ac:dyDescent="0.25">
      <c r="A1602" s="9" t="s">
        <v>52</v>
      </c>
      <c r="B1602" s="9" t="s">
        <v>23</v>
      </c>
      <c r="C1602" s="10">
        <v>46022</v>
      </c>
      <c r="D1602" s="10">
        <v>46022</v>
      </c>
      <c r="E1602" s="9" t="s">
        <v>2113</v>
      </c>
      <c r="F1602" s="9" t="s">
        <v>141</v>
      </c>
      <c r="G1602" s="9" t="s">
        <v>2114</v>
      </c>
      <c r="H1602" s="11">
        <v>-8666.08</v>
      </c>
      <c r="I1602" s="11">
        <v>-8666.08</v>
      </c>
      <c r="J1602" s="11">
        <v>0</v>
      </c>
      <c r="K1602">
        <v>1</v>
      </c>
    </row>
  </sheetData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D76259-F1EF-47F1-903F-9460630C48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Leia-me</vt:lpstr>
      <vt:lpstr>Configuração</vt:lpstr>
      <vt:lpstr>Resumo</vt:lpstr>
      <vt:lpstr>Conciliação</vt:lpstr>
      <vt:lpstr>ArquivoExtrato</vt:lpstr>
      <vt:lpstr>DataFim</vt:lpstr>
      <vt:lpstr>DataInicio</vt:lpstr>
      <vt:lpstr>PastaDados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Gama</dc:creator>
  <cp:lastModifiedBy>Lucas Gama</cp:lastModifiedBy>
  <dcterms:created xsi:type="dcterms:W3CDTF">2026-10-29T06:07:01Z</dcterms:created>
  <dcterms:modified xsi:type="dcterms:W3CDTF">2026-10-29T06:07:06Z</dcterms:modified>
</cp:coreProperties>
</file>